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r\dev\vba\2024-11-12_Battle\"/>
    </mc:Choice>
  </mc:AlternateContent>
  <bookViews>
    <workbookView xWindow="0" yWindow="0" windowWidth="28800" windowHeight="11700" activeTab="1"/>
  </bookViews>
  <sheets>
    <sheet name="Светофор" sheetId="3" r:id="rId1"/>
    <sheet name="Ипотека" sheetId="4" r:id="rId2"/>
    <sheet name="Календарь" sheetId="5" r:id="rId3"/>
    <sheet name="01" sheetId="434" r:id="rId4"/>
    <sheet name="02" sheetId="435" r:id="rId5"/>
    <sheet name="03" sheetId="436" r:id="rId6"/>
    <sheet name="04" sheetId="437" r:id="rId7"/>
    <sheet name="05" sheetId="438" r:id="rId8"/>
    <sheet name="06" sheetId="439" r:id="rId9"/>
    <sheet name="07" sheetId="440" r:id="rId10"/>
    <sheet name="08" sheetId="441" r:id="rId11"/>
    <sheet name="09" sheetId="442" r:id="rId12"/>
    <sheet name="10" sheetId="443" r:id="rId13"/>
    <sheet name="11" sheetId="444" r:id="rId14"/>
    <sheet name="12" sheetId="445" r:id="rId15"/>
  </sheets>
  <functionGroups builtInGroupCount="18"/>
  <definedNames>
    <definedName name="ANNUAL_INTEREST_RATE">Ипотека!$D$5</definedName>
    <definedName name="CHECK_POINT">Светофор!$C$8</definedName>
    <definedName name="CYCLE_LENGTH">Светофор!$C$6</definedName>
    <definedName name="FRANCHISE">Ипотека!$D$4</definedName>
    <definedName name="i">Ипотека!$D$20</definedName>
    <definedName name="MORTGAGE_DEBT">Ипотека!$D$19</definedName>
    <definedName name="n">Ипотека!$D$7</definedName>
    <definedName name="nCycles">Светофор!$C$12</definedName>
    <definedName name="P">Ипотека!$D$19</definedName>
    <definedName name="PRICE">Ипотека!$D$3</definedName>
    <definedName name="START_POINT">Светофор!$C$7</definedName>
    <definedName name="TIME_SINCE_START">Светофор!$C$9</definedName>
    <definedName name="timeLastCycleGreenBlink">Светофор!$C$17</definedName>
    <definedName name="timeLastCycleGreenStart">Светофор!$C$15</definedName>
    <definedName name="timeLastCycleRedStart">Светофор!$C$14</definedName>
    <definedName name="x">Ипотека!$D$23</definedName>
    <definedName name="YEARS">Ипотека!$D$6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14" i="4" l="1"/>
  <c r="L512" i="4" l="1"/>
  <c r="E512" i="4"/>
  <c r="M512" i="4"/>
  <c r="C512" i="4"/>
  <c r="K512" i="4"/>
  <c r="L33" i="4"/>
  <c r="L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32" i="4"/>
  <c r="D512" i="4"/>
  <c r="L28" i="4"/>
  <c r="L23" i="4"/>
  <c r="L20" i="4"/>
  <c r="L25" i="4"/>
  <c r="N31" i="4"/>
  <c r="K31" i="4"/>
  <c r="L19" i="4"/>
  <c r="L7" i="4"/>
  <c r="L5" i="4"/>
  <c r="B16" i="3" l="1"/>
  <c r="D20" i="4" l="1"/>
  <c r="D19" i="4"/>
  <c r="C31" i="4" s="1"/>
  <c r="D7" i="4"/>
  <c r="A25" i="3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B25" i="3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C25" i="3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D25" i="3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D102" i="3" s="1"/>
  <c r="D103" i="3" s="1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D121" i="3" s="1"/>
  <c r="D122" i="3" s="1"/>
  <c r="D123" i="3" s="1"/>
  <c r="D124" i="3" s="1"/>
  <c r="D125" i="3" s="1"/>
  <c r="D126" i="3" s="1"/>
  <c r="D127" i="3" s="1"/>
  <c r="D128" i="3" s="1"/>
  <c r="D129" i="3" s="1"/>
  <c r="D130" i="3" s="1"/>
  <c r="D131" i="3" s="1"/>
  <c r="D132" i="3" s="1"/>
  <c r="D133" i="3" s="1"/>
  <c r="D134" i="3" s="1"/>
  <c r="D135" i="3" s="1"/>
  <c r="D136" i="3" s="1"/>
  <c r="D137" i="3" s="1"/>
  <c r="D138" i="3" s="1"/>
  <c r="D139" i="3" s="1"/>
  <c r="D140" i="3" s="1"/>
  <c r="D141" i="3" s="1"/>
  <c r="D142" i="3" s="1"/>
  <c r="D143" i="3" s="1"/>
  <c r="D144" i="3" s="1"/>
  <c r="D145" i="3" s="1"/>
  <c r="D146" i="3" s="1"/>
  <c r="D147" i="3" s="1"/>
  <c r="D148" i="3" s="1"/>
  <c r="D149" i="3" s="1"/>
  <c r="D150" i="3" s="1"/>
  <c r="D151" i="3" s="1"/>
  <c r="D152" i="3" s="1"/>
  <c r="D153" i="3" s="1"/>
  <c r="D154" i="3" s="1"/>
  <c r="D155" i="3" s="1"/>
  <c r="D156" i="3" s="1"/>
  <c r="D157" i="3" s="1"/>
  <c r="D158" i="3" s="1"/>
  <c r="D159" i="3" s="1"/>
  <c r="D160" i="3" s="1"/>
  <c r="D161" i="3" s="1"/>
  <c r="D162" i="3" s="1"/>
  <c r="D163" i="3" s="1"/>
  <c r="D164" i="3" s="1"/>
  <c r="D165" i="3" s="1"/>
  <c r="D166" i="3" s="1"/>
  <c r="D167" i="3" s="1"/>
  <c r="D168" i="3" s="1"/>
  <c r="D169" i="3" s="1"/>
  <c r="D170" i="3" s="1"/>
  <c r="D171" i="3" s="1"/>
  <c r="D172" i="3" s="1"/>
  <c r="D173" i="3" s="1"/>
  <c r="D174" i="3" s="1"/>
  <c r="D175" i="3" s="1"/>
  <c r="D176" i="3" s="1"/>
  <c r="D177" i="3" s="1"/>
  <c r="D178" i="3" s="1"/>
  <c r="D179" i="3" s="1"/>
  <c r="D180" i="3" s="1"/>
  <c r="D181" i="3" s="1"/>
  <c r="D182" i="3" s="1"/>
  <c r="D183" i="3" s="1"/>
  <c r="D184" i="3" s="1"/>
  <c r="D185" i="3" s="1"/>
  <c r="D186" i="3" s="1"/>
  <c r="D187" i="3" s="1"/>
  <c r="D188" i="3" s="1"/>
  <c r="D189" i="3" s="1"/>
  <c r="D190" i="3" s="1"/>
  <c r="D191" i="3" s="1"/>
  <c r="D192" i="3" s="1"/>
  <c r="D193" i="3" s="1"/>
  <c r="D194" i="3" s="1"/>
  <c r="D195" i="3" s="1"/>
  <c r="D196" i="3" s="1"/>
  <c r="D197" i="3" s="1"/>
  <c r="D198" i="3" s="1"/>
  <c r="D199" i="3" s="1"/>
  <c r="D200" i="3" s="1"/>
  <c r="D201" i="3" s="1"/>
  <c r="D202" i="3" s="1"/>
  <c r="D203" i="3" s="1"/>
  <c r="D204" i="3" s="1"/>
  <c r="D205" i="3" s="1"/>
  <c r="D206" i="3" s="1"/>
  <c r="D207" i="3" s="1"/>
  <c r="D208" i="3" s="1"/>
  <c r="D209" i="3" s="1"/>
  <c r="D210" i="3" s="1"/>
  <c r="D211" i="3" s="1"/>
  <c r="D212" i="3" s="1"/>
  <c r="D213" i="3" s="1"/>
  <c r="D214" i="3" s="1"/>
  <c r="D215" i="3" s="1"/>
  <c r="D25" i="4" l="1"/>
  <c r="F31" i="4"/>
  <c r="D32" i="4" s="1"/>
  <c r="D23" i="4"/>
  <c r="C8" i="3"/>
  <c r="C16" i="3" s="1"/>
  <c r="C7" i="3"/>
  <c r="C6" i="3"/>
  <c r="M32" i="4" l="1"/>
  <c r="N32" i="4" s="1"/>
  <c r="C511" i="4"/>
  <c r="D28" i="4"/>
  <c r="C39" i="4"/>
  <c r="C45" i="4"/>
  <c r="C51" i="4"/>
  <c r="C57" i="4"/>
  <c r="C63" i="4"/>
  <c r="C69" i="4"/>
  <c r="C75" i="4"/>
  <c r="C81" i="4"/>
  <c r="C87" i="4"/>
  <c r="C93" i="4"/>
  <c r="C99" i="4"/>
  <c r="C105" i="4"/>
  <c r="C111" i="4"/>
  <c r="C117" i="4"/>
  <c r="C123" i="4"/>
  <c r="C129" i="4"/>
  <c r="C135" i="4"/>
  <c r="C141" i="4"/>
  <c r="C147" i="4"/>
  <c r="C153" i="4"/>
  <c r="C159" i="4"/>
  <c r="C165" i="4"/>
  <c r="C171" i="4"/>
  <c r="C177" i="4"/>
  <c r="C183" i="4"/>
  <c r="C189" i="4"/>
  <c r="C195" i="4"/>
  <c r="C201" i="4"/>
  <c r="C207" i="4"/>
  <c r="C213" i="4"/>
  <c r="C219" i="4"/>
  <c r="C225" i="4"/>
  <c r="C231" i="4"/>
  <c r="C237" i="4"/>
  <c r="C243" i="4"/>
  <c r="C249" i="4"/>
  <c r="C255" i="4"/>
  <c r="C261" i="4"/>
  <c r="C267" i="4"/>
  <c r="C273" i="4"/>
  <c r="C279" i="4"/>
  <c r="C285" i="4"/>
  <c r="C291" i="4"/>
  <c r="C297" i="4"/>
  <c r="C303" i="4"/>
  <c r="C309" i="4"/>
  <c r="C315" i="4"/>
  <c r="C321" i="4"/>
  <c r="C327" i="4"/>
  <c r="C333" i="4"/>
  <c r="C339" i="4"/>
  <c r="C345" i="4"/>
  <c r="C351" i="4"/>
  <c r="C357" i="4"/>
  <c r="C363" i="4"/>
  <c r="C369" i="4"/>
  <c r="C375" i="4"/>
  <c r="C381" i="4"/>
  <c r="C387" i="4"/>
  <c r="C393" i="4"/>
  <c r="C399" i="4"/>
  <c r="C405" i="4"/>
  <c r="C411" i="4"/>
  <c r="C417" i="4"/>
  <c r="C423" i="4"/>
  <c r="C429" i="4"/>
  <c r="C435" i="4"/>
  <c r="C441" i="4"/>
  <c r="C447" i="4"/>
  <c r="C453" i="4"/>
  <c r="C459" i="4"/>
  <c r="C465" i="4"/>
  <c r="C471" i="4"/>
  <c r="C477" i="4"/>
  <c r="C483" i="4"/>
  <c r="C489" i="4"/>
  <c r="C40" i="4"/>
  <c r="C46" i="4"/>
  <c r="C52" i="4"/>
  <c r="C58" i="4"/>
  <c r="C64" i="4"/>
  <c r="C70" i="4"/>
  <c r="C76" i="4"/>
  <c r="C82" i="4"/>
  <c r="C88" i="4"/>
  <c r="C94" i="4"/>
  <c r="C100" i="4"/>
  <c r="C106" i="4"/>
  <c r="C112" i="4"/>
  <c r="C118" i="4"/>
  <c r="C124" i="4"/>
  <c r="C130" i="4"/>
  <c r="C136" i="4"/>
  <c r="C142" i="4"/>
  <c r="C148" i="4"/>
  <c r="C154" i="4"/>
  <c r="C160" i="4"/>
  <c r="C166" i="4"/>
  <c r="C41" i="4"/>
  <c r="C47" i="4"/>
  <c r="C53" i="4"/>
  <c r="C59" i="4"/>
  <c r="C65" i="4"/>
  <c r="C71" i="4"/>
  <c r="C77" i="4"/>
  <c r="C83" i="4"/>
  <c r="C89" i="4"/>
  <c r="C95" i="4"/>
  <c r="C101" i="4"/>
  <c r="C107" i="4"/>
  <c r="C113" i="4"/>
  <c r="C119" i="4"/>
  <c r="C125" i="4"/>
  <c r="C131" i="4"/>
  <c r="C137" i="4"/>
  <c r="C143" i="4"/>
  <c r="C149" i="4"/>
  <c r="C155" i="4"/>
  <c r="C161" i="4"/>
  <c r="C167" i="4"/>
  <c r="C173" i="4"/>
  <c r="C179" i="4"/>
  <c r="C185" i="4"/>
  <c r="C191" i="4"/>
  <c r="C197" i="4"/>
  <c r="C203" i="4"/>
  <c r="C209" i="4"/>
  <c r="C215" i="4"/>
  <c r="C221" i="4"/>
  <c r="C36" i="4"/>
  <c r="C42" i="4"/>
  <c r="C48" i="4"/>
  <c r="C54" i="4"/>
  <c r="C60" i="4"/>
  <c r="C66" i="4"/>
  <c r="C72" i="4"/>
  <c r="C78" i="4"/>
  <c r="C84" i="4"/>
  <c r="C90" i="4"/>
  <c r="C96" i="4"/>
  <c r="C102" i="4"/>
  <c r="C108" i="4"/>
  <c r="C114" i="4"/>
  <c r="C120" i="4"/>
  <c r="C126" i="4"/>
  <c r="C132" i="4"/>
  <c r="C138" i="4"/>
  <c r="C144" i="4"/>
  <c r="C150" i="4"/>
  <c r="C156" i="4"/>
  <c r="C162" i="4"/>
  <c r="C168" i="4"/>
  <c r="C174" i="4"/>
  <c r="C180" i="4"/>
  <c r="C186" i="4"/>
  <c r="C192" i="4"/>
  <c r="C198" i="4"/>
  <c r="C204" i="4"/>
  <c r="C210" i="4"/>
  <c r="C216" i="4"/>
  <c r="C222" i="4"/>
  <c r="C228" i="4"/>
  <c r="C234" i="4"/>
  <c r="C240" i="4"/>
  <c r="C246" i="4"/>
  <c r="C252" i="4"/>
  <c r="C258" i="4"/>
  <c r="C37" i="4"/>
  <c r="C43" i="4"/>
  <c r="C49" i="4"/>
  <c r="C55" i="4"/>
  <c r="C61" i="4"/>
  <c r="C67" i="4"/>
  <c r="C73" i="4"/>
  <c r="C79" i="4"/>
  <c r="C85" i="4"/>
  <c r="C91" i="4"/>
  <c r="C97" i="4"/>
  <c r="C103" i="4"/>
  <c r="C109" i="4"/>
  <c r="C115" i="4"/>
  <c r="C121" i="4"/>
  <c r="C127" i="4"/>
  <c r="C133" i="4"/>
  <c r="C139" i="4"/>
  <c r="C145" i="4"/>
  <c r="C151" i="4"/>
  <c r="C157" i="4"/>
  <c r="C163" i="4"/>
  <c r="C169" i="4"/>
  <c r="C175" i="4"/>
  <c r="C181" i="4"/>
  <c r="C187" i="4"/>
  <c r="C193" i="4"/>
  <c r="C199" i="4"/>
  <c r="C205" i="4"/>
  <c r="C211" i="4"/>
  <c r="C217" i="4"/>
  <c r="C223" i="4"/>
  <c r="C229" i="4"/>
  <c r="C235" i="4"/>
  <c r="C241" i="4"/>
  <c r="C247" i="4"/>
  <c r="C253" i="4"/>
  <c r="C259" i="4"/>
  <c r="C265" i="4"/>
  <c r="C271" i="4"/>
  <c r="C277" i="4"/>
  <c r="C283" i="4"/>
  <c r="C289" i="4"/>
  <c r="C295" i="4"/>
  <c r="C301" i="4"/>
  <c r="C307" i="4"/>
  <c r="C313" i="4"/>
  <c r="C319" i="4"/>
  <c r="C325" i="4"/>
  <c r="C331" i="4"/>
  <c r="C337" i="4"/>
  <c r="C343" i="4"/>
  <c r="C349" i="4"/>
  <c r="C355" i="4"/>
  <c r="C361" i="4"/>
  <c r="C367" i="4"/>
  <c r="C373" i="4"/>
  <c r="C379" i="4"/>
  <c r="C385" i="4"/>
  <c r="C391" i="4"/>
  <c r="C397" i="4"/>
  <c r="C403" i="4"/>
  <c r="C409" i="4"/>
  <c r="C415" i="4"/>
  <c r="C421" i="4"/>
  <c r="C427" i="4"/>
  <c r="C433" i="4"/>
  <c r="C439" i="4"/>
  <c r="C445" i="4"/>
  <c r="C451" i="4"/>
  <c r="C457" i="4"/>
  <c r="C463" i="4"/>
  <c r="C469" i="4"/>
  <c r="C475" i="4"/>
  <c r="C481" i="4"/>
  <c r="C487" i="4"/>
  <c r="C493" i="4"/>
  <c r="C499" i="4"/>
  <c r="C505" i="4"/>
  <c r="C38" i="4"/>
  <c r="C44" i="4"/>
  <c r="C50" i="4"/>
  <c r="C56" i="4"/>
  <c r="C62" i="4"/>
  <c r="C68" i="4"/>
  <c r="C98" i="4"/>
  <c r="C134" i="4"/>
  <c r="C170" i="4"/>
  <c r="C188" i="4"/>
  <c r="C206" i="4"/>
  <c r="C224" i="4"/>
  <c r="C236" i="4"/>
  <c r="C248" i="4"/>
  <c r="C260" i="4"/>
  <c r="C269" i="4"/>
  <c r="C278" i="4"/>
  <c r="C287" i="4"/>
  <c r="C296" i="4"/>
  <c r="C305" i="4"/>
  <c r="C314" i="4"/>
  <c r="C323" i="4"/>
  <c r="C332" i="4"/>
  <c r="C341" i="4"/>
  <c r="C350" i="4"/>
  <c r="C359" i="4"/>
  <c r="C368" i="4"/>
  <c r="C377" i="4"/>
  <c r="C386" i="4"/>
  <c r="C395" i="4"/>
  <c r="C404" i="4"/>
  <c r="C413" i="4"/>
  <c r="C422" i="4"/>
  <c r="C431" i="4"/>
  <c r="C440" i="4"/>
  <c r="C449" i="4"/>
  <c r="C458" i="4"/>
  <c r="C467" i="4"/>
  <c r="C476" i="4"/>
  <c r="C485" i="4"/>
  <c r="C494" i="4"/>
  <c r="C501" i="4"/>
  <c r="C508" i="4"/>
  <c r="C104" i="4"/>
  <c r="C140" i="4"/>
  <c r="C172" i="4"/>
  <c r="C190" i="4"/>
  <c r="C208" i="4"/>
  <c r="C226" i="4"/>
  <c r="C238" i="4"/>
  <c r="C250" i="4"/>
  <c r="C262" i="4"/>
  <c r="C270" i="4"/>
  <c r="C280" i="4"/>
  <c r="C288" i="4"/>
  <c r="C298" i="4"/>
  <c r="C306" i="4"/>
  <c r="C316" i="4"/>
  <c r="C324" i="4"/>
  <c r="C334" i="4"/>
  <c r="C342" i="4"/>
  <c r="C352" i="4"/>
  <c r="C360" i="4"/>
  <c r="C370" i="4"/>
  <c r="C378" i="4"/>
  <c r="C388" i="4"/>
  <c r="C396" i="4"/>
  <c r="C406" i="4"/>
  <c r="C414" i="4"/>
  <c r="C424" i="4"/>
  <c r="C432" i="4"/>
  <c r="C442" i="4"/>
  <c r="C450" i="4"/>
  <c r="C460" i="4"/>
  <c r="C468" i="4"/>
  <c r="C478" i="4"/>
  <c r="C486" i="4"/>
  <c r="C495" i="4"/>
  <c r="C502" i="4"/>
  <c r="C509" i="4"/>
  <c r="C74" i="4"/>
  <c r="C110" i="4"/>
  <c r="C146" i="4"/>
  <c r="C176" i="4"/>
  <c r="C194" i="4"/>
  <c r="C212" i="4"/>
  <c r="C227" i="4"/>
  <c r="C239" i="4"/>
  <c r="C251" i="4"/>
  <c r="C263" i="4"/>
  <c r="C272" i="4"/>
  <c r="C492" i="4"/>
  <c r="C116" i="4"/>
  <c r="C178" i="4"/>
  <c r="C242" i="4"/>
  <c r="C264" i="4"/>
  <c r="C281" i="4"/>
  <c r="C308" i="4"/>
  <c r="C335" i="4"/>
  <c r="C362" i="4"/>
  <c r="C389" i="4"/>
  <c r="C416" i="4"/>
  <c r="C443" i="4"/>
  <c r="C470" i="4"/>
  <c r="C496" i="4"/>
  <c r="C122" i="4"/>
  <c r="C182" i="4"/>
  <c r="C218" i="4"/>
  <c r="C244" i="4"/>
  <c r="C266" i="4"/>
  <c r="C282" i="4"/>
  <c r="C294" i="4"/>
  <c r="C310" i="4"/>
  <c r="C322" i="4"/>
  <c r="C336" i="4"/>
  <c r="C348" i="4"/>
  <c r="C364" i="4"/>
  <c r="C376" i="4"/>
  <c r="C390" i="4"/>
  <c r="C402" i="4"/>
  <c r="C418" i="4"/>
  <c r="C430" i="4"/>
  <c r="C444" i="4"/>
  <c r="C456" i="4"/>
  <c r="C472" i="4"/>
  <c r="C484" i="4"/>
  <c r="C497" i="4"/>
  <c r="C507" i="4"/>
  <c r="C128" i="4"/>
  <c r="C184" i="4"/>
  <c r="C220" i="4"/>
  <c r="C245" i="4"/>
  <c r="C268" i="4"/>
  <c r="C284" i="4"/>
  <c r="C299" i="4"/>
  <c r="C311" i="4"/>
  <c r="C326" i="4"/>
  <c r="C338" i="4"/>
  <c r="C353" i="4"/>
  <c r="C365" i="4"/>
  <c r="C380" i="4"/>
  <c r="C392" i="4"/>
  <c r="C407" i="4"/>
  <c r="C419" i="4"/>
  <c r="C434" i="4"/>
  <c r="C446" i="4"/>
  <c r="C461" i="4"/>
  <c r="C473" i="4"/>
  <c r="C488" i="4"/>
  <c r="C498" i="4"/>
  <c r="C510" i="4"/>
  <c r="C80" i="4"/>
  <c r="C152" i="4"/>
  <c r="C196" i="4"/>
  <c r="C230" i="4"/>
  <c r="C254" i="4"/>
  <c r="C274" i="4"/>
  <c r="C286" i="4"/>
  <c r="C300" i="4"/>
  <c r="C312" i="4"/>
  <c r="C328" i="4"/>
  <c r="C340" i="4"/>
  <c r="C354" i="4"/>
  <c r="C366" i="4"/>
  <c r="C382" i="4"/>
  <c r="C394" i="4"/>
  <c r="C408" i="4"/>
  <c r="C420" i="4"/>
  <c r="C436" i="4"/>
  <c r="C448" i="4"/>
  <c r="C462" i="4"/>
  <c r="C474" i="4"/>
  <c r="C490" i="4"/>
  <c r="C500" i="4"/>
  <c r="C86" i="4"/>
  <c r="C158" i="4"/>
  <c r="C200" i="4"/>
  <c r="C232" i="4"/>
  <c r="C256" i="4"/>
  <c r="C275" i="4"/>
  <c r="C290" i="4"/>
  <c r="C302" i="4"/>
  <c r="C317" i="4"/>
  <c r="C329" i="4"/>
  <c r="C344" i="4"/>
  <c r="C356" i="4"/>
  <c r="C371" i="4"/>
  <c r="C383" i="4"/>
  <c r="C398" i="4"/>
  <c r="C410" i="4"/>
  <c r="C425" i="4"/>
  <c r="C437" i="4"/>
  <c r="C452" i="4"/>
  <c r="C464" i="4"/>
  <c r="C479" i="4"/>
  <c r="C491" i="4"/>
  <c r="C503" i="4"/>
  <c r="C92" i="4"/>
  <c r="C164" i="4"/>
  <c r="C202" i="4"/>
  <c r="C233" i="4"/>
  <c r="C257" i="4"/>
  <c r="C276" i="4"/>
  <c r="C292" i="4"/>
  <c r="C304" i="4"/>
  <c r="C318" i="4"/>
  <c r="C330" i="4"/>
  <c r="C346" i="4"/>
  <c r="C358" i="4"/>
  <c r="C372" i="4"/>
  <c r="C384" i="4"/>
  <c r="C400" i="4"/>
  <c r="C412" i="4"/>
  <c r="C426" i="4"/>
  <c r="C438" i="4"/>
  <c r="C454" i="4"/>
  <c r="C466" i="4"/>
  <c r="C480" i="4"/>
  <c r="C504" i="4"/>
  <c r="C214" i="4"/>
  <c r="C293" i="4"/>
  <c r="C320" i="4"/>
  <c r="C347" i="4"/>
  <c r="C374" i="4"/>
  <c r="C401" i="4"/>
  <c r="C428" i="4"/>
  <c r="C455" i="4"/>
  <c r="C482" i="4"/>
  <c r="C506" i="4"/>
  <c r="C9" i="3"/>
  <c r="C12" i="3" s="1"/>
  <c r="C14" i="3" s="1"/>
  <c r="C15" i="3" s="1"/>
  <c r="C17" i="3" s="1"/>
  <c r="C33" i="4"/>
  <c r="C34" i="4"/>
  <c r="C35" i="4"/>
  <c r="C32" i="4"/>
  <c r="E32" i="4" s="1"/>
  <c r="F32" i="4" s="1"/>
  <c r="D33" i="4" s="1"/>
  <c r="M33" i="4" l="1"/>
  <c r="N33" i="4" s="1"/>
  <c r="L34" i="4" s="1"/>
  <c r="E33" i="4"/>
  <c r="F33" i="4" s="1"/>
  <c r="D34" i="4" s="1"/>
  <c r="M34" i="4" l="1"/>
  <c r="N34" i="4" s="1"/>
  <c r="L35" i="4" s="1"/>
  <c r="E34" i="4"/>
  <c r="F34" i="4" s="1"/>
  <c r="D35" i="4" s="1"/>
  <c r="M35" i="4" l="1"/>
  <c r="N35" i="4" s="1"/>
  <c r="L36" i="4" s="1"/>
  <c r="E35" i="4"/>
  <c r="F35" i="4" s="1"/>
  <c r="D36" i="4" s="1"/>
  <c r="M36" i="4" l="1"/>
  <c r="N36" i="4" s="1"/>
  <c r="L37" i="4" s="1"/>
  <c r="E36" i="4"/>
  <c r="F36" i="4" s="1"/>
  <c r="D37" i="4" s="1"/>
  <c r="M37" i="4" l="1"/>
  <c r="N37" i="4" s="1"/>
  <c r="L38" i="4" s="1"/>
  <c r="E37" i="4"/>
  <c r="F37" i="4" s="1"/>
  <c r="D38" i="4" s="1"/>
  <c r="M38" i="4" l="1"/>
  <c r="N38" i="4" s="1"/>
  <c r="L39" i="4" s="1"/>
  <c r="E38" i="4"/>
  <c r="F38" i="4" s="1"/>
  <c r="D39" i="4" s="1"/>
  <c r="M39" i="4" l="1"/>
  <c r="N39" i="4" s="1"/>
  <c r="L40" i="4" s="1"/>
  <c r="E39" i="4"/>
  <c r="F39" i="4" s="1"/>
  <c r="D40" i="4" s="1"/>
  <c r="M40" i="4" l="1"/>
  <c r="N40" i="4" s="1"/>
  <c r="L41" i="4" s="1"/>
  <c r="E40" i="4"/>
  <c r="F40" i="4" s="1"/>
  <c r="D41" i="4" s="1"/>
  <c r="M41" i="4" l="1"/>
  <c r="N41" i="4" s="1"/>
  <c r="L42" i="4" s="1"/>
  <c r="E41" i="4"/>
  <c r="F41" i="4" s="1"/>
  <c r="D42" i="4" s="1"/>
  <c r="M42" i="4" l="1"/>
  <c r="N42" i="4" s="1"/>
  <c r="L43" i="4" s="1"/>
  <c r="E42" i="4"/>
  <c r="F42" i="4" s="1"/>
  <c r="D43" i="4" s="1"/>
  <c r="M43" i="4" l="1"/>
  <c r="N43" i="4" s="1"/>
  <c r="L44" i="4" s="1"/>
  <c r="E43" i="4"/>
  <c r="F43" i="4" s="1"/>
  <c r="D44" i="4" s="1"/>
  <c r="M44" i="4" l="1"/>
  <c r="N44" i="4" s="1"/>
  <c r="L45" i="4" s="1"/>
  <c r="E44" i="4"/>
  <c r="F44" i="4" s="1"/>
  <c r="D45" i="4" s="1"/>
  <c r="M45" i="4" l="1"/>
  <c r="N45" i="4" s="1"/>
  <c r="L46" i="4" s="1"/>
  <c r="E45" i="4"/>
  <c r="F45" i="4" s="1"/>
  <c r="D46" i="4" s="1"/>
  <c r="M46" i="4" l="1"/>
  <c r="N46" i="4" s="1"/>
  <c r="L47" i="4" s="1"/>
  <c r="E46" i="4"/>
  <c r="F46" i="4" s="1"/>
  <c r="D47" i="4" s="1"/>
  <c r="M47" i="4" l="1"/>
  <c r="N47" i="4" s="1"/>
  <c r="L48" i="4" s="1"/>
  <c r="E47" i="4"/>
  <c r="F47" i="4" s="1"/>
  <c r="D48" i="4" s="1"/>
  <c r="M48" i="4" l="1"/>
  <c r="N48" i="4" s="1"/>
  <c r="L49" i="4" s="1"/>
  <c r="E48" i="4"/>
  <c r="F48" i="4" s="1"/>
  <c r="D49" i="4" s="1"/>
  <c r="M49" i="4" l="1"/>
  <c r="N49" i="4" s="1"/>
  <c r="L50" i="4" s="1"/>
  <c r="E49" i="4"/>
  <c r="F49" i="4" s="1"/>
  <c r="M50" i="4" l="1"/>
  <c r="N50" i="4" s="1"/>
  <c r="L51" i="4" s="1"/>
  <c r="D50" i="4"/>
  <c r="E50" i="4" s="1"/>
  <c r="F50" i="4" s="1"/>
  <c r="M51" i="4" l="1"/>
  <c r="N51" i="4" s="1"/>
  <c r="L52" i="4" s="1"/>
  <c r="D51" i="4"/>
  <c r="E51" i="4" s="1"/>
  <c r="F51" i="4" s="1"/>
  <c r="M52" i="4" l="1"/>
  <c r="N52" i="4" s="1"/>
  <c r="L53" i="4" s="1"/>
  <c r="D52" i="4"/>
  <c r="E52" i="4" s="1"/>
  <c r="F52" i="4" s="1"/>
  <c r="D53" i="4" s="1"/>
  <c r="E53" i="4" s="1"/>
  <c r="F53" i="4" s="1"/>
  <c r="D54" i="4" s="1"/>
  <c r="E54" i="4" s="1"/>
  <c r="F54" i="4" s="1"/>
  <c r="D55" i="4" s="1"/>
  <c r="E55" i="4" s="1"/>
  <c r="F55" i="4" s="1"/>
  <c r="D56" i="4" s="1"/>
  <c r="M53" i="4" l="1"/>
  <c r="N53" i="4" s="1"/>
  <c r="L54" i="4" s="1"/>
  <c r="E56" i="4"/>
  <c r="F56" i="4" s="1"/>
  <c r="D57" i="4" s="1"/>
  <c r="M54" i="4" l="1"/>
  <c r="N54" i="4" s="1"/>
  <c r="L55" i="4" s="1"/>
  <c r="E57" i="4"/>
  <c r="F57" i="4" s="1"/>
  <c r="D58" i="4" s="1"/>
  <c r="M55" i="4" l="1"/>
  <c r="N55" i="4" s="1"/>
  <c r="L56" i="4" s="1"/>
  <c r="E58" i="4"/>
  <c r="F58" i="4" s="1"/>
  <c r="D59" i="4" s="1"/>
  <c r="M56" i="4" l="1"/>
  <c r="N56" i="4" s="1"/>
  <c r="L57" i="4" s="1"/>
  <c r="E59" i="4"/>
  <c r="F59" i="4" s="1"/>
  <c r="D60" i="4" s="1"/>
  <c r="M57" i="4" l="1"/>
  <c r="N57" i="4" s="1"/>
  <c r="L58" i="4" s="1"/>
  <c r="E60" i="4"/>
  <c r="F60" i="4" s="1"/>
  <c r="D61" i="4" s="1"/>
  <c r="M58" i="4" l="1"/>
  <c r="N58" i="4" s="1"/>
  <c r="L59" i="4" s="1"/>
  <c r="E61" i="4"/>
  <c r="F61" i="4" s="1"/>
  <c r="D62" i="4" s="1"/>
  <c r="M59" i="4" l="1"/>
  <c r="N59" i="4" s="1"/>
  <c r="L60" i="4" s="1"/>
  <c r="E62" i="4"/>
  <c r="F62" i="4" s="1"/>
  <c r="D63" i="4" s="1"/>
  <c r="M60" i="4" l="1"/>
  <c r="N60" i="4" s="1"/>
  <c r="L61" i="4" s="1"/>
  <c r="E63" i="4"/>
  <c r="F63" i="4" s="1"/>
  <c r="M61" i="4" l="1"/>
  <c r="N61" i="4" s="1"/>
  <c r="L62" i="4" s="1"/>
  <c r="D64" i="4"/>
  <c r="E64" i="4" s="1"/>
  <c r="F64" i="4" s="1"/>
  <c r="M62" i="4" l="1"/>
  <c r="N62" i="4" s="1"/>
  <c r="L63" i="4" s="1"/>
  <c r="D65" i="4"/>
  <c r="E65" i="4" s="1"/>
  <c r="F65" i="4" s="1"/>
  <c r="M63" i="4" l="1"/>
  <c r="N63" i="4" s="1"/>
  <c r="L64" i="4" s="1"/>
  <c r="D66" i="4"/>
  <c r="E66" i="4" s="1"/>
  <c r="F66" i="4" s="1"/>
  <c r="D67" i="4" s="1"/>
  <c r="E67" i="4" s="1"/>
  <c r="F67" i="4" s="1"/>
  <c r="D68" i="4" s="1"/>
  <c r="E68" i="4" s="1"/>
  <c r="F68" i="4" s="1"/>
  <c r="D69" i="4" s="1"/>
  <c r="E69" i="4" s="1"/>
  <c r="F69" i="4" s="1"/>
  <c r="D70" i="4" s="1"/>
  <c r="M64" i="4" l="1"/>
  <c r="N64" i="4" s="1"/>
  <c r="L65" i="4" s="1"/>
  <c r="E70" i="4"/>
  <c r="F70" i="4" s="1"/>
  <c r="D71" i="4" s="1"/>
  <c r="M65" i="4" l="1"/>
  <c r="N65" i="4" s="1"/>
  <c r="L66" i="4" s="1"/>
  <c r="E71" i="4"/>
  <c r="F71" i="4" s="1"/>
  <c r="D72" i="4" s="1"/>
  <c r="M66" i="4" l="1"/>
  <c r="N66" i="4" s="1"/>
  <c r="L67" i="4" s="1"/>
  <c r="E72" i="4"/>
  <c r="F72" i="4" s="1"/>
  <c r="D73" i="4" s="1"/>
  <c r="E73" i="4" l="1"/>
  <c r="F73" i="4" s="1"/>
  <c r="D74" i="4" s="1"/>
  <c r="M67" i="4" l="1"/>
  <c r="N67" i="4" s="1"/>
  <c r="L68" i="4" s="1"/>
  <c r="E74" i="4"/>
  <c r="F74" i="4" s="1"/>
  <c r="D75" i="4" s="1"/>
  <c r="M68" i="4" l="1"/>
  <c r="N68" i="4" s="1"/>
  <c r="L69" i="4" s="1"/>
  <c r="E75" i="4"/>
  <c r="F75" i="4" s="1"/>
  <c r="D76" i="4" s="1"/>
  <c r="M69" i="4" l="1"/>
  <c r="N69" i="4" s="1"/>
  <c r="L70" i="4" s="1"/>
  <c r="E76" i="4"/>
  <c r="F76" i="4" s="1"/>
  <c r="D77" i="4" s="1"/>
  <c r="M70" i="4" l="1"/>
  <c r="N70" i="4" s="1"/>
  <c r="L71" i="4" s="1"/>
  <c r="E77" i="4"/>
  <c r="F77" i="4" s="1"/>
  <c r="D78" i="4" s="1"/>
  <c r="M71" i="4" l="1"/>
  <c r="N71" i="4" s="1"/>
  <c r="L72" i="4" s="1"/>
  <c r="E78" i="4"/>
  <c r="F78" i="4" s="1"/>
  <c r="D79" i="4" s="1"/>
  <c r="M72" i="4" l="1"/>
  <c r="N72" i="4" s="1"/>
  <c r="L73" i="4" s="1"/>
  <c r="E79" i="4"/>
  <c r="F79" i="4" s="1"/>
  <c r="D80" i="4" s="1"/>
  <c r="M73" i="4" l="1"/>
  <c r="N73" i="4" s="1"/>
  <c r="L74" i="4" s="1"/>
  <c r="E80" i="4"/>
  <c r="F80" i="4" s="1"/>
  <c r="D81" i="4" s="1"/>
  <c r="M74" i="4" l="1"/>
  <c r="N74" i="4" s="1"/>
  <c r="L75" i="4" s="1"/>
  <c r="E81" i="4"/>
  <c r="F81" i="4" s="1"/>
  <c r="D82" i="4" s="1"/>
  <c r="M75" i="4" l="1"/>
  <c r="N75" i="4" s="1"/>
  <c r="L76" i="4" s="1"/>
  <c r="E82" i="4"/>
  <c r="F82" i="4" s="1"/>
  <c r="D83" i="4" s="1"/>
  <c r="E83" i="4" l="1"/>
  <c r="F83" i="4" s="1"/>
  <c r="D84" i="4" s="1"/>
  <c r="M76" i="4" l="1"/>
  <c r="N76" i="4" s="1"/>
  <c r="L77" i="4" s="1"/>
  <c r="E84" i="4"/>
  <c r="F84" i="4" s="1"/>
  <c r="D85" i="4" s="1"/>
  <c r="M77" i="4" l="1"/>
  <c r="N77" i="4" s="1"/>
  <c r="L78" i="4" s="1"/>
  <c r="E85" i="4"/>
  <c r="F85" i="4" s="1"/>
  <c r="D86" i="4" s="1"/>
  <c r="M78" i="4" l="1"/>
  <c r="N78" i="4" s="1"/>
  <c r="L79" i="4" s="1"/>
  <c r="E86" i="4"/>
  <c r="F86" i="4" s="1"/>
  <c r="D87" i="4" s="1"/>
  <c r="M79" i="4" l="1"/>
  <c r="N79" i="4" s="1"/>
  <c r="L80" i="4" s="1"/>
  <c r="E87" i="4"/>
  <c r="F87" i="4" s="1"/>
  <c r="D88" i="4" s="1"/>
  <c r="M80" i="4" l="1"/>
  <c r="N80" i="4" s="1"/>
  <c r="L81" i="4" s="1"/>
  <c r="E88" i="4"/>
  <c r="F88" i="4" s="1"/>
  <c r="D89" i="4" s="1"/>
  <c r="M81" i="4" l="1"/>
  <c r="N81" i="4" s="1"/>
  <c r="L82" i="4" s="1"/>
  <c r="E89" i="4"/>
  <c r="F89" i="4" s="1"/>
  <c r="D90" i="4" s="1"/>
  <c r="M82" i="4" l="1"/>
  <c r="N82" i="4" s="1"/>
  <c r="L83" i="4" s="1"/>
  <c r="E90" i="4"/>
  <c r="F90" i="4" s="1"/>
  <c r="D91" i="4" s="1"/>
  <c r="M83" i="4" l="1"/>
  <c r="N83" i="4" s="1"/>
  <c r="L84" i="4" s="1"/>
  <c r="E91" i="4"/>
  <c r="F91" i="4" s="1"/>
  <c r="D92" i="4" s="1"/>
  <c r="M84" i="4" l="1"/>
  <c r="N84" i="4" s="1"/>
  <c r="L85" i="4" s="1"/>
  <c r="E92" i="4"/>
  <c r="F92" i="4" s="1"/>
  <c r="D93" i="4" s="1"/>
  <c r="M85" i="4" l="1"/>
  <c r="N85" i="4" s="1"/>
  <c r="L86" i="4" s="1"/>
  <c r="E93" i="4"/>
  <c r="F93" i="4" s="1"/>
  <c r="D94" i="4" s="1"/>
  <c r="M86" i="4" l="1"/>
  <c r="N86" i="4" s="1"/>
  <c r="L87" i="4" s="1"/>
  <c r="E94" i="4"/>
  <c r="F94" i="4" s="1"/>
  <c r="D95" i="4" s="1"/>
  <c r="M87" i="4" l="1"/>
  <c r="N87" i="4" s="1"/>
  <c r="L88" i="4" s="1"/>
  <c r="E95" i="4"/>
  <c r="F95" i="4" s="1"/>
  <c r="D96" i="4" s="1"/>
  <c r="M88" i="4" l="1"/>
  <c r="N88" i="4" s="1"/>
  <c r="L89" i="4" s="1"/>
  <c r="E96" i="4"/>
  <c r="F96" i="4" s="1"/>
  <c r="D97" i="4" s="1"/>
  <c r="M89" i="4" l="1"/>
  <c r="N89" i="4" s="1"/>
  <c r="L90" i="4" s="1"/>
  <c r="E97" i="4"/>
  <c r="F97" i="4" s="1"/>
  <c r="D98" i="4" s="1"/>
  <c r="M90" i="4" l="1"/>
  <c r="N90" i="4" s="1"/>
  <c r="L91" i="4" s="1"/>
  <c r="E98" i="4"/>
  <c r="F98" i="4" s="1"/>
  <c r="D99" i="4" s="1"/>
  <c r="E99" i="4" l="1"/>
  <c r="F99" i="4" s="1"/>
  <c r="D100" i="4" s="1"/>
  <c r="M91" i="4" l="1"/>
  <c r="N91" i="4" s="1"/>
  <c r="L92" i="4" s="1"/>
  <c r="E100" i="4"/>
  <c r="F100" i="4" s="1"/>
  <c r="D101" i="4" s="1"/>
  <c r="M92" i="4" l="1"/>
  <c r="N92" i="4" s="1"/>
  <c r="L93" i="4" s="1"/>
  <c r="E101" i="4"/>
  <c r="F101" i="4" s="1"/>
  <c r="D102" i="4" s="1"/>
  <c r="M93" i="4" l="1"/>
  <c r="N93" i="4" s="1"/>
  <c r="L94" i="4" s="1"/>
  <c r="E102" i="4"/>
  <c r="F102" i="4" s="1"/>
  <c r="D103" i="4" s="1"/>
  <c r="E103" i="4" l="1"/>
  <c r="F103" i="4" s="1"/>
  <c r="D104" i="4" s="1"/>
  <c r="M94" i="4" l="1"/>
  <c r="N94" i="4" s="1"/>
  <c r="L95" i="4" s="1"/>
  <c r="E104" i="4"/>
  <c r="F104" i="4" s="1"/>
  <c r="D105" i="4" s="1"/>
  <c r="M95" i="4" l="1"/>
  <c r="N95" i="4" s="1"/>
  <c r="L96" i="4" s="1"/>
  <c r="E105" i="4"/>
  <c r="F105" i="4" s="1"/>
  <c r="D106" i="4" s="1"/>
  <c r="E106" i="4" l="1"/>
  <c r="F106" i="4" s="1"/>
  <c r="D107" i="4" s="1"/>
  <c r="M96" i="4" l="1"/>
  <c r="N96" i="4" s="1"/>
  <c r="L97" i="4" s="1"/>
  <c r="E107" i="4"/>
  <c r="F107" i="4" s="1"/>
  <c r="D108" i="4" s="1"/>
  <c r="E108" i="4" l="1"/>
  <c r="F108" i="4" s="1"/>
  <c r="D109" i="4" s="1"/>
  <c r="M97" i="4" l="1"/>
  <c r="N97" i="4" s="1"/>
  <c r="L98" i="4" s="1"/>
  <c r="E109" i="4"/>
  <c r="F109" i="4" s="1"/>
  <c r="D110" i="4" s="1"/>
  <c r="M98" i="4" l="1"/>
  <c r="N98" i="4" s="1"/>
  <c r="L99" i="4" s="1"/>
  <c r="E110" i="4"/>
  <c r="F110" i="4" s="1"/>
  <c r="D111" i="4" s="1"/>
  <c r="M99" i="4" l="1"/>
  <c r="N99" i="4" s="1"/>
  <c r="L100" i="4" s="1"/>
  <c r="E111" i="4"/>
  <c r="F111" i="4" s="1"/>
  <c r="D112" i="4" s="1"/>
  <c r="E112" i="4" l="1"/>
  <c r="F112" i="4" s="1"/>
  <c r="D113" i="4" s="1"/>
  <c r="M100" i="4" l="1"/>
  <c r="N100" i="4" s="1"/>
  <c r="L101" i="4" s="1"/>
  <c r="E113" i="4"/>
  <c r="F113" i="4" s="1"/>
  <c r="D114" i="4" s="1"/>
  <c r="M101" i="4" l="1"/>
  <c r="N101" i="4" s="1"/>
  <c r="L102" i="4" s="1"/>
  <c r="E114" i="4"/>
  <c r="F114" i="4" s="1"/>
  <c r="D115" i="4" s="1"/>
  <c r="E115" i="4" l="1"/>
  <c r="F115" i="4" s="1"/>
  <c r="D116" i="4" s="1"/>
  <c r="M102" i="4" l="1"/>
  <c r="N102" i="4" s="1"/>
  <c r="L103" i="4" s="1"/>
  <c r="E116" i="4"/>
  <c r="F116" i="4" s="1"/>
  <c r="D117" i="4" s="1"/>
  <c r="M103" i="4" l="1"/>
  <c r="N103" i="4" s="1"/>
  <c r="L104" i="4" s="1"/>
  <c r="E117" i="4"/>
  <c r="F117" i="4" s="1"/>
  <c r="D118" i="4" s="1"/>
  <c r="M104" i="4" l="1"/>
  <c r="N104" i="4" s="1"/>
  <c r="L105" i="4" s="1"/>
  <c r="E118" i="4"/>
  <c r="F118" i="4" s="1"/>
  <c r="D119" i="4" s="1"/>
  <c r="M105" i="4" l="1"/>
  <c r="N105" i="4" s="1"/>
  <c r="L106" i="4" s="1"/>
  <c r="E119" i="4"/>
  <c r="F119" i="4" s="1"/>
  <c r="D120" i="4" s="1"/>
  <c r="E120" i="4" l="1"/>
  <c r="F120" i="4" s="1"/>
  <c r="D121" i="4" s="1"/>
  <c r="M106" i="4" l="1"/>
  <c r="N106" i="4" s="1"/>
  <c r="L107" i="4" s="1"/>
  <c r="E121" i="4"/>
  <c r="F121" i="4" s="1"/>
  <c r="D122" i="4" s="1"/>
  <c r="M107" i="4" l="1"/>
  <c r="N107" i="4" s="1"/>
  <c r="L108" i="4" s="1"/>
  <c r="E122" i="4"/>
  <c r="F122" i="4" s="1"/>
  <c r="D123" i="4" s="1"/>
  <c r="E123" i="4" l="1"/>
  <c r="F123" i="4" s="1"/>
  <c r="D124" i="4" s="1"/>
  <c r="M108" i="4" l="1"/>
  <c r="N108" i="4" s="1"/>
  <c r="L109" i="4" s="1"/>
  <c r="E124" i="4"/>
  <c r="F124" i="4" s="1"/>
  <c r="D125" i="4" s="1"/>
  <c r="E125" i="4" l="1"/>
  <c r="F125" i="4" s="1"/>
  <c r="D126" i="4" s="1"/>
  <c r="M109" i="4" l="1"/>
  <c r="N109" i="4" s="1"/>
  <c r="L110" i="4" s="1"/>
  <c r="E126" i="4"/>
  <c r="F126" i="4" s="1"/>
  <c r="D127" i="4" s="1"/>
  <c r="M110" i="4" l="1"/>
  <c r="N110" i="4" s="1"/>
  <c r="L111" i="4" s="1"/>
  <c r="E127" i="4"/>
  <c r="F127" i="4" s="1"/>
  <c r="D128" i="4" s="1"/>
  <c r="M111" i="4" l="1"/>
  <c r="N111" i="4" s="1"/>
  <c r="L112" i="4" s="1"/>
  <c r="E128" i="4"/>
  <c r="F128" i="4" s="1"/>
  <c r="D129" i="4" s="1"/>
  <c r="E129" i="4" l="1"/>
  <c r="F129" i="4" s="1"/>
  <c r="D130" i="4" s="1"/>
  <c r="M112" i="4" l="1"/>
  <c r="N112" i="4" s="1"/>
  <c r="L113" i="4" s="1"/>
  <c r="E130" i="4"/>
  <c r="F130" i="4" s="1"/>
  <c r="D131" i="4" s="1"/>
  <c r="M113" i="4" l="1"/>
  <c r="N113" i="4" s="1"/>
  <c r="L114" i="4" s="1"/>
  <c r="E131" i="4"/>
  <c r="F131" i="4" s="1"/>
  <c r="D132" i="4" s="1"/>
  <c r="E132" i="4" l="1"/>
  <c r="F132" i="4" s="1"/>
  <c r="D133" i="4" s="1"/>
  <c r="M114" i="4" l="1"/>
  <c r="N114" i="4" s="1"/>
  <c r="L115" i="4" s="1"/>
  <c r="E133" i="4"/>
  <c r="F133" i="4" s="1"/>
  <c r="D134" i="4" s="1"/>
  <c r="E134" i="4" l="1"/>
  <c r="F134" i="4" s="1"/>
  <c r="D135" i="4" s="1"/>
  <c r="M115" i="4" l="1"/>
  <c r="N115" i="4" s="1"/>
  <c r="L116" i="4" s="1"/>
  <c r="E135" i="4"/>
  <c r="F135" i="4" s="1"/>
  <c r="D136" i="4" s="1"/>
  <c r="M116" i="4" l="1"/>
  <c r="N116" i="4" s="1"/>
  <c r="L117" i="4" s="1"/>
  <c r="E136" i="4"/>
  <c r="F136" i="4" s="1"/>
  <c r="D137" i="4" s="1"/>
  <c r="M117" i="4" l="1"/>
  <c r="N117" i="4" s="1"/>
  <c r="L118" i="4" s="1"/>
  <c r="E137" i="4"/>
  <c r="F137" i="4" s="1"/>
  <c r="D138" i="4" s="1"/>
  <c r="E138" i="4" l="1"/>
  <c r="F138" i="4" s="1"/>
  <c r="D139" i="4" s="1"/>
  <c r="M118" i="4" l="1"/>
  <c r="N118" i="4" s="1"/>
  <c r="L119" i="4" s="1"/>
  <c r="E139" i="4"/>
  <c r="F139" i="4" s="1"/>
  <c r="D140" i="4" s="1"/>
  <c r="M119" i="4" l="1"/>
  <c r="N119" i="4" s="1"/>
  <c r="L120" i="4" s="1"/>
  <c r="E140" i="4"/>
  <c r="F140" i="4" s="1"/>
  <c r="D141" i="4" s="1"/>
  <c r="E141" i="4" l="1"/>
  <c r="F141" i="4" s="1"/>
  <c r="D142" i="4" s="1"/>
  <c r="M120" i="4" l="1"/>
  <c r="N120" i="4" s="1"/>
  <c r="L121" i="4" s="1"/>
  <c r="E142" i="4"/>
  <c r="F142" i="4" s="1"/>
  <c r="D143" i="4" s="1"/>
  <c r="E143" i="4" l="1"/>
  <c r="F143" i="4" s="1"/>
  <c r="D144" i="4" s="1"/>
  <c r="M121" i="4" l="1"/>
  <c r="N121" i="4" s="1"/>
  <c r="L122" i="4" s="1"/>
  <c r="E144" i="4"/>
  <c r="F144" i="4" s="1"/>
  <c r="D145" i="4" s="1"/>
  <c r="M122" i="4" l="1"/>
  <c r="N122" i="4" s="1"/>
  <c r="L123" i="4" s="1"/>
  <c r="E145" i="4"/>
  <c r="F145" i="4" s="1"/>
  <c r="D146" i="4" s="1"/>
  <c r="M123" i="4" l="1"/>
  <c r="N123" i="4" s="1"/>
  <c r="L124" i="4" s="1"/>
  <c r="E146" i="4"/>
  <c r="F146" i="4" s="1"/>
  <c r="D147" i="4" s="1"/>
  <c r="M124" i="4" l="1"/>
  <c r="N124" i="4" s="1"/>
  <c r="L125" i="4" s="1"/>
  <c r="E147" i="4"/>
  <c r="F147" i="4" s="1"/>
  <c r="D148" i="4" s="1"/>
  <c r="M125" i="4" l="1"/>
  <c r="N125" i="4" s="1"/>
  <c r="L126" i="4" s="1"/>
  <c r="E148" i="4"/>
  <c r="F148" i="4" s="1"/>
  <c r="D149" i="4" s="1"/>
  <c r="M126" i="4" l="1"/>
  <c r="N126" i="4" s="1"/>
  <c r="L127" i="4" s="1"/>
  <c r="E149" i="4"/>
  <c r="F149" i="4" s="1"/>
  <c r="D150" i="4" s="1"/>
  <c r="M127" i="4" l="1"/>
  <c r="N127" i="4" s="1"/>
  <c r="L128" i="4" s="1"/>
  <c r="E150" i="4"/>
  <c r="F150" i="4" s="1"/>
  <c r="D151" i="4" s="1"/>
  <c r="M128" i="4" l="1"/>
  <c r="N128" i="4" s="1"/>
  <c r="L129" i="4" s="1"/>
  <c r="E151" i="4"/>
  <c r="F151" i="4" s="1"/>
  <c r="D152" i="4" s="1"/>
  <c r="E152" i="4" l="1"/>
  <c r="F152" i="4" s="1"/>
  <c r="D153" i="4" s="1"/>
  <c r="M129" i="4" l="1"/>
  <c r="N129" i="4" s="1"/>
  <c r="L130" i="4" s="1"/>
  <c r="E153" i="4"/>
  <c r="F153" i="4" s="1"/>
  <c r="D154" i="4" s="1"/>
  <c r="M130" i="4" l="1"/>
  <c r="N130" i="4" s="1"/>
  <c r="L131" i="4" s="1"/>
  <c r="E154" i="4"/>
  <c r="F154" i="4" s="1"/>
  <c r="D155" i="4" s="1"/>
  <c r="M131" i="4" l="1"/>
  <c r="N131" i="4" s="1"/>
  <c r="L132" i="4" s="1"/>
  <c r="E155" i="4"/>
  <c r="F155" i="4" s="1"/>
  <c r="D156" i="4" s="1"/>
  <c r="M132" i="4" l="1"/>
  <c r="N132" i="4" s="1"/>
  <c r="L133" i="4" s="1"/>
  <c r="E156" i="4"/>
  <c r="F156" i="4" s="1"/>
  <c r="D157" i="4" s="1"/>
  <c r="E157" i="4" l="1"/>
  <c r="F157" i="4" s="1"/>
  <c r="D158" i="4" s="1"/>
  <c r="M133" i="4" l="1"/>
  <c r="N133" i="4" s="1"/>
  <c r="L134" i="4" s="1"/>
  <c r="E158" i="4"/>
  <c r="F158" i="4" s="1"/>
  <c r="D159" i="4" s="1"/>
  <c r="M134" i="4" l="1"/>
  <c r="N134" i="4" s="1"/>
  <c r="L135" i="4" s="1"/>
  <c r="E159" i="4"/>
  <c r="F159" i="4" s="1"/>
  <c r="D160" i="4" s="1"/>
  <c r="M135" i="4" l="1"/>
  <c r="N135" i="4" s="1"/>
  <c r="L136" i="4" s="1"/>
  <c r="E160" i="4"/>
  <c r="F160" i="4" s="1"/>
  <c r="D161" i="4" s="1"/>
  <c r="M136" i="4" l="1"/>
  <c r="N136" i="4" s="1"/>
  <c r="L137" i="4" s="1"/>
  <c r="E161" i="4"/>
  <c r="F161" i="4" s="1"/>
  <c r="D162" i="4" s="1"/>
  <c r="M137" i="4" l="1"/>
  <c r="N137" i="4" s="1"/>
  <c r="L138" i="4" s="1"/>
  <c r="E162" i="4"/>
  <c r="F162" i="4" s="1"/>
  <c r="D163" i="4" s="1"/>
  <c r="M138" i="4" l="1"/>
  <c r="N138" i="4" s="1"/>
  <c r="L139" i="4" s="1"/>
  <c r="E163" i="4"/>
  <c r="F163" i="4" s="1"/>
  <c r="D164" i="4" s="1"/>
  <c r="M139" i="4" l="1"/>
  <c r="N139" i="4" s="1"/>
  <c r="L140" i="4" s="1"/>
  <c r="E164" i="4"/>
  <c r="F164" i="4" s="1"/>
  <c r="D165" i="4" s="1"/>
  <c r="M140" i="4" l="1"/>
  <c r="N140" i="4" s="1"/>
  <c r="L141" i="4" s="1"/>
  <c r="E165" i="4"/>
  <c r="F165" i="4" s="1"/>
  <c r="D166" i="4" s="1"/>
  <c r="M141" i="4" l="1"/>
  <c r="N141" i="4" s="1"/>
  <c r="L142" i="4" s="1"/>
  <c r="E166" i="4"/>
  <c r="F166" i="4" s="1"/>
  <c r="D167" i="4" s="1"/>
  <c r="E167" i="4" l="1"/>
  <c r="F167" i="4" s="1"/>
  <c r="D168" i="4" s="1"/>
  <c r="M142" i="4" l="1"/>
  <c r="N142" i="4" s="1"/>
  <c r="L143" i="4" s="1"/>
  <c r="E168" i="4"/>
  <c r="F168" i="4" s="1"/>
  <c r="D169" i="4" s="1"/>
  <c r="M143" i="4" l="1"/>
  <c r="N143" i="4" s="1"/>
  <c r="L144" i="4" s="1"/>
  <c r="E169" i="4"/>
  <c r="F169" i="4" s="1"/>
  <c r="D170" i="4" s="1"/>
  <c r="E170" i="4" l="1"/>
  <c r="F170" i="4" s="1"/>
  <c r="D171" i="4" s="1"/>
  <c r="M144" i="4" l="1"/>
  <c r="N144" i="4" s="1"/>
  <c r="L145" i="4" s="1"/>
  <c r="E171" i="4"/>
  <c r="F171" i="4" s="1"/>
  <c r="D172" i="4" s="1"/>
  <c r="M145" i="4" l="1"/>
  <c r="N145" i="4" s="1"/>
  <c r="L146" i="4" s="1"/>
  <c r="E172" i="4"/>
  <c r="F172" i="4" s="1"/>
  <c r="D173" i="4" s="1"/>
  <c r="M146" i="4" l="1"/>
  <c r="N146" i="4" s="1"/>
  <c r="L147" i="4" s="1"/>
  <c r="E173" i="4"/>
  <c r="F173" i="4" s="1"/>
  <c r="D174" i="4" s="1"/>
  <c r="M147" i="4" l="1"/>
  <c r="N147" i="4" s="1"/>
  <c r="L148" i="4" s="1"/>
  <c r="E174" i="4"/>
  <c r="F174" i="4" s="1"/>
  <c r="D175" i="4" s="1"/>
  <c r="M148" i="4" l="1"/>
  <c r="N148" i="4" s="1"/>
  <c r="L149" i="4" s="1"/>
  <c r="E175" i="4"/>
  <c r="F175" i="4" s="1"/>
  <c r="D176" i="4" s="1"/>
  <c r="M149" i="4" l="1"/>
  <c r="N149" i="4" s="1"/>
  <c r="L150" i="4" s="1"/>
  <c r="E176" i="4"/>
  <c r="F176" i="4" s="1"/>
  <c r="D177" i="4" s="1"/>
  <c r="M150" i="4" l="1"/>
  <c r="N150" i="4" s="1"/>
  <c r="L151" i="4" s="1"/>
  <c r="E177" i="4"/>
  <c r="F177" i="4" s="1"/>
  <c r="D178" i="4" s="1"/>
  <c r="M151" i="4" l="1"/>
  <c r="N151" i="4" s="1"/>
  <c r="L152" i="4" s="1"/>
  <c r="E178" i="4"/>
  <c r="F178" i="4" s="1"/>
  <c r="D179" i="4" s="1"/>
  <c r="M152" i="4" l="1"/>
  <c r="N152" i="4" s="1"/>
  <c r="L153" i="4" s="1"/>
  <c r="E179" i="4"/>
  <c r="F179" i="4" s="1"/>
  <c r="D180" i="4" s="1"/>
  <c r="M153" i="4" l="1"/>
  <c r="N153" i="4" s="1"/>
  <c r="L154" i="4" s="1"/>
  <c r="E180" i="4"/>
  <c r="F180" i="4" s="1"/>
  <c r="D181" i="4" s="1"/>
  <c r="M154" i="4" l="1"/>
  <c r="N154" i="4" s="1"/>
  <c r="L155" i="4" s="1"/>
  <c r="E181" i="4"/>
  <c r="F181" i="4" s="1"/>
  <c r="D182" i="4" s="1"/>
  <c r="M155" i="4" l="1"/>
  <c r="N155" i="4" s="1"/>
  <c r="L156" i="4" s="1"/>
  <c r="E182" i="4"/>
  <c r="F182" i="4" s="1"/>
  <c r="D183" i="4" s="1"/>
  <c r="M156" i="4" l="1"/>
  <c r="N156" i="4" s="1"/>
  <c r="L157" i="4" s="1"/>
  <c r="E183" i="4"/>
  <c r="F183" i="4" s="1"/>
  <c r="D184" i="4" s="1"/>
  <c r="M157" i="4" l="1"/>
  <c r="N157" i="4" s="1"/>
  <c r="L158" i="4" s="1"/>
  <c r="E184" i="4"/>
  <c r="F184" i="4" s="1"/>
  <c r="D185" i="4" s="1"/>
  <c r="M158" i="4" l="1"/>
  <c r="N158" i="4" s="1"/>
  <c r="L159" i="4" s="1"/>
  <c r="E185" i="4"/>
  <c r="F185" i="4" s="1"/>
  <c r="D186" i="4" s="1"/>
  <c r="M159" i="4" l="1"/>
  <c r="N159" i="4" s="1"/>
  <c r="L160" i="4" s="1"/>
  <c r="E186" i="4"/>
  <c r="F186" i="4" s="1"/>
  <c r="D187" i="4" s="1"/>
  <c r="M160" i="4" l="1"/>
  <c r="N160" i="4" s="1"/>
  <c r="L161" i="4" s="1"/>
  <c r="E187" i="4"/>
  <c r="F187" i="4" s="1"/>
  <c r="D188" i="4" s="1"/>
  <c r="M161" i="4" l="1"/>
  <c r="N161" i="4" s="1"/>
  <c r="L162" i="4" s="1"/>
  <c r="E188" i="4"/>
  <c r="F188" i="4" s="1"/>
  <c r="D189" i="4" s="1"/>
  <c r="M162" i="4" l="1"/>
  <c r="N162" i="4" s="1"/>
  <c r="L163" i="4" s="1"/>
  <c r="E189" i="4"/>
  <c r="F189" i="4" s="1"/>
  <c r="D190" i="4" s="1"/>
  <c r="M163" i="4" l="1"/>
  <c r="N163" i="4" s="1"/>
  <c r="L164" i="4" s="1"/>
  <c r="E190" i="4"/>
  <c r="F190" i="4" s="1"/>
  <c r="D191" i="4" s="1"/>
  <c r="M164" i="4" l="1"/>
  <c r="N164" i="4" s="1"/>
  <c r="L165" i="4" s="1"/>
  <c r="E191" i="4"/>
  <c r="F191" i="4" s="1"/>
  <c r="D192" i="4" s="1"/>
  <c r="M165" i="4" l="1"/>
  <c r="N165" i="4" s="1"/>
  <c r="L166" i="4" s="1"/>
  <c r="E192" i="4"/>
  <c r="F192" i="4" s="1"/>
  <c r="D193" i="4" s="1"/>
  <c r="M166" i="4" l="1"/>
  <c r="N166" i="4" s="1"/>
  <c r="L167" i="4" s="1"/>
  <c r="E193" i="4"/>
  <c r="F193" i="4" s="1"/>
  <c r="D194" i="4" s="1"/>
  <c r="M167" i="4" l="1"/>
  <c r="N167" i="4" s="1"/>
  <c r="L168" i="4" s="1"/>
  <c r="E194" i="4"/>
  <c r="F194" i="4" s="1"/>
  <c r="D195" i="4" s="1"/>
  <c r="M168" i="4" l="1"/>
  <c r="N168" i="4" s="1"/>
  <c r="L169" i="4" s="1"/>
  <c r="E195" i="4"/>
  <c r="F195" i="4" s="1"/>
  <c r="D196" i="4" s="1"/>
  <c r="M169" i="4" l="1"/>
  <c r="N169" i="4" s="1"/>
  <c r="L170" i="4" s="1"/>
  <c r="E196" i="4"/>
  <c r="F196" i="4" s="1"/>
  <c r="D197" i="4" s="1"/>
  <c r="M170" i="4" l="1"/>
  <c r="N170" i="4" s="1"/>
  <c r="L171" i="4" s="1"/>
  <c r="E197" i="4"/>
  <c r="F197" i="4" s="1"/>
  <c r="D198" i="4" s="1"/>
  <c r="M171" i="4" l="1"/>
  <c r="N171" i="4" s="1"/>
  <c r="L172" i="4" s="1"/>
  <c r="E198" i="4"/>
  <c r="F198" i="4" s="1"/>
  <c r="D199" i="4" s="1"/>
  <c r="M172" i="4" l="1"/>
  <c r="N172" i="4" s="1"/>
  <c r="L173" i="4" s="1"/>
  <c r="E199" i="4"/>
  <c r="F199" i="4" s="1"/>
  <c r="D200" i="4" s="1"/>
  <c r="M173" i="4" l="1"/>
  <c r="N173" i="4" s="1"/>
  <c r="L174" i="4" s="1"/>
  <c r="E200" i="4"/>
  <c r="F200" i="4" s="1"/>
  <c r="D201" i="4" s="1"/>
  <c r="E201" i="4" l="1"/>
  <c r="F201" i="4" s="1"/>
  <c r="D202" i="4" s="1"/>
  <c r="M174" i="4" l="1"/>
  <c r="N174" i="4" s="1"/>
  <c r="L175" i="4" s="1"/>
  <c r="E202" i="4"/>
  <c r="F202" i="4" s="1"/>
  <c r="D203" i="4" s="1"/>
  <c r="E203" i="4" l="1"/>
  <c r="F203" i="4" s="1"/>
  <c r="D204" i="4" s="1"/>
  <c r="M175" i="4" l="1"/>
  <c r="N175" i="4" s="1"/>
  <c r="L176" i="4" s="1"/>
  <c r="E204" i="4"/>
  <c r="F204" i="4" s="1"/>
  <c r="D205" i="4" s="1"/>
  <c r="M176" i="4" l="1"/>
  <c r="N176" i="4" s="1"/>
  <c r="L177" i="4" s="1"/>
  <c r="E205" i="4"/>
  <c r="F205" i="4" s="1"/>
  <c r="D206" i="4" s="1"/>
  <c r="M177" i="4" l="1"/>
  <c r="N177" i="4" s="1"/>
  <c r="L178" i="4" s="1"/>
  <c r="E206" i="4"/>
  <c r="F206" i="4" s="1"/>
  <c r="D207" i="4" s="1"/>
  <c r="E207" i="4" l="1"/>
  <c r="F207" i="4" s="1"/>
  <c r="D208" i="4" s="1"/>
  <c r="M178" i="4" l="1"/>
  <c r="N178" i="4" s="1"/>
  <c r="L179" i="4" s="1"/>
  <c r="E208" i="4"/>
  <c r="F208" i="4" s="1"/>
  <c r="D209" i="4" s="1"/>
  <c r="M179" i="4" l="1"/>
  <c r="N179" i="4" s="1"/>
  <c r="L180" i="4" s="1"/>
  <c r="E209" i="4"/>
  <c r="F209" i="4" s="1"/>
  <c r="D210" i="4" s="1"/>
  <c r="E210" i="4" l="1"/>
  <c r="F210" i="4" s="1"/>
  <c r="D211" i="4" s="1"/>
  <c r="M180" i="4" l="1"/>
  <c r="N180" i="4" s="1"/>
  <c r="L181" i="4" s="1"/>
  <c r="E211" i="4"/>
  <c r="F211" i="4" s="1"/>
  <c r="D212" i="4" s="1"/>
  <c r="E212" i="4" l="1"/>
  <c r="F212" i="4" s="1"/>
  <c r="D213" i="4" s="1"/>
  <c r="M181" i="4" l="1"/>
  <c r="N181" i="4" s="1"/>
  <c r="L182" i="4" s="1"/>
  <c r="E213" i="4"/>
  <c r="F213" i="4" s="1"/>
  <c r="D214" i="4" s="1"/>
  <c r="M182" i="4" l="1"/>
  <c r="N182" i="4" s="1"/>
  <c r="L183" i="4" s="1"/>
  <c r="E214" i="4"/>
  <c r="F214" i="4" s="1"/>
  <c r="D215" i="4" s="1"/>
  <c r="E215" i="4" l="1"/>
  <c r="F215" i="4" s="1"/>
  <c r="D216" i="4" s="1"/>
  <c r="M183" i="4" l="1"/>
  <c r="N183" i="4" s="1"/>
  <c r="L184" i="4" s="1"/>
  <c r="E216" i="4"/>
  <c r="F216" i="4" s="1"/>
  <c r="D217" i="4" s="1"/>
  <c r="M184" i="4" l="1"/>
  <c r="N184" i="4" s="1"/>
  <c r="L185" i="4" s="1"/>
  <c r="E217" i="4"/>
  <c r="F217" i="4" s="1"/>
  <c r="D218" i="4" s="1"/>
  <c r="M185" i="4" l="1"/>
  <c r="N185" i="4" s="1"/>
  <c r="L186" i="4" s="1"/>
  <c r="E218" i="4"/>
  <c r="F218" i="4" s="1"/>
  <c r="D219" i="4" s="1"/>
  <c r="M186" i="4" l="1"/>
  <c r="N186" i="4" s="1"/>
  <c r="L187" i="4" s="1"/>
  <c r="E219" i="4"/>
  <c r="F219" i="4" s="1"/>
  <c r="D220" i="4" s="1"/>
  <c r="E220" i="4" l="1"/>
  <c r="F220" i="4" s="1"/>
  <c r="D221" i="4" s="1"/>
  <c r="M187" i="4" l="1"/>
  <c r="N187" i="4" s="1"/>
  <c r="L188" i="4" s="1"/>
  <c r="E221" i="4"/>
  <c r="F221" i="4" s="1"/>
  <c r="D222" i="4" s="1"/>
  <c r="M188" i="4" l="1"/>
  <c r="N188" i="4" s="1"/>
  <c r="L189" i="4" s="1"/>
  <c r="E222" i="4"/>
  <c r="F222" i="4" s="1"/>
  <c r="D223" i="4" s="1"/>
  <c r="M189" i="4" l="1"/>
  <c r="N189" i="4" s="1"/>
  <c r="L190" i="4" s="1"/>
  <c r="E223" i="4"/>
  <c r="F223" i="4" s="1"/>
  <c r="D224" i="4" s="1"/>
  <c r="E224" i="4" l="1"/>
  <c r="F224" i="4" s="1"/>
  <c r="D225" i="4" s="1"/>
  <c r="M190" i="4" l="1"/>
  <c r="N190" i="4" s="1"/>
  <c r="L191" i="4" s="1"/>
  <c r="E225" i="4"/>
  <c r="F225" i="4" s="1"/>
  <c r="D226" i="4" s="1"/>
  <c r="M191" i="4" l="1"/>
  <c r="N191" i="4" s="1"/>
  <c r="L192" i="4" s="1"/>
  <c r="E226" i="4"/>
  <c r="F226" i="4" s="1"/>
  <c r="D227" i="4" s="1"/>
  <c r="E227" i="4" l="1"/>
  <c r="F227" i="4" s="1"/>
  <c r="D228" i="4" s="1"/>
  <c r="M192" i="4" l="1"/>
  <c r="N192" i="4" s="1"/>
  <c r="L193" i="4" s="1"/>
  <c r="E228" i="4"/>
  <c r="F228" i="4" s="1"/>
  <c r="D229" i="4" s="1"/>
  <c r="M193" i="4" l="1"/>
  <c r="N193" i="4" s="1"/>
  <c r="L194" i="4" s="1"/>
  <c r="E229" i="4"/>
  <c r="F229" i="4" s="1"/>
  <c r="D230" i="4" s="1"/>
  <c r="M194" i="4" l="1"/>
  <c r="N194" i="4" s="1"/>
  <c r="L195" i="4" s="1"/>
  <c r="E230" i="4"/>
  <c r="F230" i="4" s="1"/>
  <c r="D231" i="4" s="1"/>
  <c r="M195" i="4" l="1"/>
  <c r="N195" i="4" s="1"/>
  <c r="L196" i="4" s="1"/>
  <c r="E231" i="4"/>
  <c r="F231" i="4" s="1"/>
  <c r="D232" i="4" s="1"/>
  <c r="E232" i="4" l="1"/>
  <c r="F232" i="4" s="1"/>
  <c r="D233" i="4" s="1"/>
  <c r="M196" i="4" l="1"/>
  <c r="N196" i="4" s="1"/>
  <c r="L197" i="4" s="1"/>
  <c r="E233" i="4"/>
  <c r="F233" i="4" s="1"/>
  <c r="D234" i="4" s="1"/>
  <c r="M197" i="4" l="1"/>
  <c r="N197" i="4" s="1"/>
  <c r="L198" i="4" s="1"/>
  <c r="E234" i="4"/>
  <c r="F234" i="4" s="1"/>
  <c r="D235" i="4" s="1"/>
  <c r="M198" i="4" l="1"/>
  <c r="N198" i="4" s="1"/>
  <c r="L199" i="4" s="1"/>
  <c r="E235" i="4"/>
  <c r="F235" i="4" s="1"/>
  <c r="D236" i="4" s="1"/>
  <c r="M199" i="4" l="1"/>
  <c r="N199" i="4" s="1"/>
  <c r="L200" i="4" s="1"/>
  <c r="E236" i="4"/>
  <c r="F236" i="4" s="1"/>
  <c r="D237" i="4" s="1"/>
  <c r="M200" i="4" l="1"/>
  <c r="N200" i="4" s="1"/>
  <c r="L201" i="4" s="1"/>
  <c r="E237" i="4"/>
  <c r="F237" i="4" s="1"/>
  <c r="D238" i="4" s="1"/>
  <c r="E238" i="4" l="1"/>
  <c r="F238" i="4" s="1"/>
  <c r="D239" i="4" s="1"/>
  <c r="M201" i="4" l="1"/>
  <c r="N201" i="4" s="1"/>
  <c r="L202" i="4" s="1"/>
  <c r="E239" i="4"/>
  <c r="F239" i="4" s="1"/>
  <c r="D240" i="4" s="1"/>
  <c r="E240" i="4" l="1"/>
  <c r="F240" i="4" s="1"/>
  <c r="D241" i="4" s="1"/>
  <c r="M202" i="4" l="1"/>
  <c r="N202" i="4" s="1"/>
  <c r="L203" i="4" s="1"/>
  <c r="E241" i="4"/>
  <c r="F241" i="4" s="1"/>
  <c r="D242" i="4" s="1"/>
  <c r="M203" i="4" l="1"/>
  <c r="N203" i="4" s="1"/>
  <c r="L204" i="4" s="1"/>
  <c r="E242" i="4"/>
  <c r="F242" i="4" s="1"/>
  <c r="D243" i="4" s="1"/>
  <c r="M204" i="4" l="1"/>
  <c r="N204" i="4" s="1"/>
  <c r="L205" i="4" s="1"/>
  <c r="E243" i="4"/>
  <c r="F243" i="4" s="1"/>
  <c r="D244" i="4" s="1"/>
  <c r="M205" i="4" l="1"/>
  <c r="N205" i="4" s="1"/>
  <c r="L206" i="4" s="1"/>
  <c r="E244" i="4"/>
  <c r="F244" i="4" s="1"/>
  <c r="D245" i="4" s="1"/>
  <c r="M206" i="4" l="1"/>
  <c r="N206" i="4" s="1"/>
  <c r="L207" i="4" s="1"/>
  <c r="E245" i="4"/>
  <c r="F245" i="4" s="1"/>
  <c r="D246" i="4" s="1"/>
  <c r="E246" i="4" l="1"/>
  <c r="F246" i="4" s="1"/>
  <c r="D247" i="4" s="1"/>
  <c r="M207" i="4" l="1"/>
  <c r="N207" i="4" s="1"/>
  <c r="L208" i="4" s="1"/>
  <c r="E247" i="4"/>
  <c r="F247" i="4" s="1"/>
  <c r="D248" i="4" s="1"/>
  <c r="E248" i="4" l="1"/>
  <c r="F248" i="4" s="1"/>
  <c r="D249" i="4" s="1"/>
  <c r="M208" i="4" l="1"/>
  <c r="N208" i="4" s="1"/>
  <c r="L209" i="4" s="1"/>
  <c r="E249" i="4"/>
  <c r="F249" i="4" s="1"/>
  <c r="D250" i="4" s="1"/>
  <c r="M209" i="4" l="1"/>
  <c r="N209" i="4" s="1"/>
  <c r="L210" i="4" s="1"/>
  <c r="E250" i="4"/>
  <c r="F250" i="4" s="1"/>
  <c r="D251" i="4" s="1"/>
  <c r="M210" i="4" l="1"/>
  <c r="N210" i="4" s="1"/>
  <c r="L211" i="4" s="1"/>
  <c r="E251" i="4"/>
  <c r="F251" i="4" s="1"/>
  <c r="D252" i="4" s="1"/>
  <c r="E252" i="4" l="1"/>
  <c r="F252" i="4" s="1"/>
  <c r="D253" i="4" s="1"/>
  <c r="M211" i="4" l="1"/>
  <c r="N211" i="4" s="1"/>
  <c r="L212" i="4" s="1"/>
  <c r="E253" i="4"/>
  <c r="F253" i="4" s="1"/>
  <c r="D254" i="4" s="1"/>
  <c r="M212" i="4" l="1"/>
  <c r="N212" i="4" s="1"/>
  <c r="L213" i="4" s="1"/>
  <c r="E254" i="4"/>
  <c r="F254" i="4" s="1"/>
  <c r="D255" i="4" s="1"/>
  <c r="M213" i="4" l="1"/>
  <c r="N213" i="4" s="1"/>
  <c r="L214" i="4" s="1"/>
  <c r="E255" i="4"/>
  <c r="F255" i="4" s="1"/>
  <c r="D256" i="4" s="1"/>
  <c r="E256" i="4" l="1"/>
  <c r="F256" i="4" s="1"/>
  <c r="D257" i="4" s="1"/>
  <c r="M214" i="4" l="1"/>
  <c r="N214" i="4" s="1"/>
  <c r="L215" i="4" s="1"/>
  <c r="E257" i="4"/>
  <c r="F257" i="4" s="1"/>
  <c r="D258" i="4" s="1"/>
  <c r="M215" i="4" l="1"/>
  <c r="N215" i="4" s="1"/>
  <c r="L216" i="4" s="1"/>
  <c r="E258" i="4"/>
  <c r="F258" i="4" s="1"/>
  <c r="D259" i="4" s="1"/>
  <c r="E259" i="4" l="1"/>
  <c r="F259" i="4" s="1"/>
  <c r="D260" i="4" s="1"/>
  <c r="M216" i="4" l="1"/>
  <c r="N216" i="4" s="1"/>
  <c r="L217" i="4" s="1"/>
  <c r="E260" i="4"/>
  <c r="F260" i="4" s="1"/>
  <c r="D261" i="4" s="1"/>
  <c r="E261" i="4" l="1"/>
  <c r="F261" i="4" s="1"/>
  <c r="D262" i="4" s="1"/>
  <c r="M217" i="4" l="1"/>
  <c r="N217" i="4" s="1"/>
  <c r="L218" i="4" s="1"/>
  <c r="E262" i="4"/>
  <c r="F262" i="4" s="1"/>
  <c r="D263" i="4" s="1"/>
  <c r="M218" i="4" l="1"/>
  <c r="N218" i="4" s="1"/>
  <c r="L219" i="4" s="1"/>
  <c r="E263" i="4"/>
  <c r="F263" i="4" s="1"/>
  <c r="D264" i="4" s="1"/>
  <c r="M219" i="4" l="1"/>
  <c r="N219" i="4" s="1"/>
  <c r="L220" i="4" s="1"/>
  <c r="E264" i="4"/>
  <c r="F264" i="4" s="1"/>
  <c r="D265" i="4" s="1"/>
  <c r="M220" i="4" l="1"/>
  <c r="N220" i="4" s="1"/>
  <c r="L221" i="4" s="1"/>
  <c r="E265" i="4"/>
  <c r="F265" i="4" s="1"/>
  <c r="D266" i="4" s="1"/>
  <c r="M221" i="4" l="1"/>
  <c r="N221" i="4" s="1"/>
  <c r="L222" i="4" s="1"/>
  <c r="E266" i="4"/>
  <c r="F266" i="4" s="1"/>
  <c r="D267" i="4" s="1"/>
  <c r="M222" i="4" l="1"/>
  <c r="N222" i="4" s="1"/>
  <c r="L223" i="4" s="1"/>
  <c r="E267" i="4"/>
  <c r="F267" i="4" s="1"/>
  <c r="D268" i="4" s="1"/>
  <c r="E268" i="4" l="1"/>
  <c r="F268" i="4" s="1"/>
  <c r="D269" i="4" s="1"/>
  <c r="M223" i="4" l="1"/>
  <c r="N223" i="4" s="1"/>
  <c r="L224" i="4" s="1"/>
  <c r="E269" i="4"/>
  <c r="F269" i="4" s="1"/>
  <c r="D270" i="4" s="1"/>
  <c r="M224" i="4" l="1"/>
  <c r="N224" i="4" s="1"/>
  <c r="L225" i="4" s="1"/>
  <c r="E270" i="4"/>
  <c r="F270" i="4" s="1"/>
  <c r="D271" i="4" s="1"/>
  <c r="E271" i="4" l="1"/>
  <c r="F271" i="4" s="1"/>
  <c r="D272" i="4" s="1"/>
  <c r="M225" i="4" l="1"/>
  <c r="N225" i="4" s="1"/>
  <c r="L226" i="4" s="1"/>
  <c r="E272" i="4"/>
  <c r="F272" i="4" s="1"/>
  <c r="D273" i="4" s="1"/>
  <c r="M226" i="4" l="1"/>
  <c r="N226" i="4" s="1"/>
  <c r="L227" i="4" s="1"/>
  <c r="E273" i="4"/>
  <c r="F273" i="4" s="1"/>
  <c r="D274" i="4" s="1"/>
  <c r="M227" i="4" l="1"/>
  <c r="N227" i="4" s="1"/>
  <c r="L228" i="4" s="1"/>
  <c r="E274" i="4"/>
  <c r="F274" i="4" s="1"/>
  <c r="D275" i="4" s="1"/>
  <c r="M228" i="4" l="1"/>
  <c r="N228" i="4" s="1"/>
  <c r="L229" i="4" s="1"/>
  <c r="E275" i="4"/>
  <c r="F275" i="4" s="1"/>
  <c r="D276" i="4" s="1"/>
  <c r="E276" i="4" l="1"/>
  <c r="F276" i="4" s="1"/>
  <c r="D277" i="4" s="1"/>
  <c r="M229" i="4" l="1"/>
  <c r="N229" i="4" s="1"/>
  <c r="L230" i="4" s="1"/>
  <c r="E277" i="4"/>
  <c r="F277" i="4" s="1"/>
  <c r="D278" i="4" s="1"/>
  <c r="M230" i="4" l="1"/>
  <c r="N230" i="4" s="1"/>
  <c r="L231" i="4" s="1"/>
  <c r="E278" i="4"/>
  <c r="F278" i="4" s="1"/>
  <c r="D279" i="4" s="1"/>
  <c r="M231" i="4" l="1"/>
  <c r="N231" i="4" s="1"/>
  <c r="L232" i="4" s="1"/>
  <c r="E279" i="4"/>
  <c r="F279" i="4" s="1"/>
  <c r="D280" i="4" s="1"/>
  <c r="E280" i="4" l="1"/>
  <c r="F280" i="4" s="1"/>
  <c r="D281" i="4" s="1"/>
  <c r="M232" i="4" l="1"/>
  <c r="N232" i="4" s="1"/>
  <c r="L233" i="4" s="1"/>
  <c r="E281" i="4"/>
  <c r="F281" i="4" s="1"/>
  <c r="D282" i="4" s="1"/>
  <c r="M233" i="4" l="1"/>
  <c r="N233" i="4" s="1"/>
  <c r="L234" i="4" s="1"/>
  <c r="E282" i="4"/>
  <c r="F282" i="4" s="1"/>
  <c r="D283" i="4" s="1"/>
  <c r="E283" i="4" l="1"/>
  <c r="F283" i="4"/>
  <c r="D284" i="4" s="1"/>
  <c r="M234" i="4" l="1"/>
  <c r="N234" i="4" s="1"/>
  <c r="L235" i="4" s="1"/>
  <c r="E284" i="4"/>
  <c r="F284" i="4" s="1"/>
  <c r="D285" i="4" s="1"/>
  <c r="E285" i="4" l="1"/>
  <c r="F285" i="4" s="1"/>
  <c r="D286" i="4" s="1"/>
  <c r="M235" i="4" l="1"/>
  <c r="N235" i="4" s="1"/>
  <c r="L236" i="4" s="1"/>
  <c r="E286" i="4"/>
  <c r="F286" i="4"/>
  <c r="D287" i="4" s="1"/>
  <c r="M236" i="4" l="1"/>
  <c r="N236" i="4" s="1"/>
  <c r="L237" i="4" s="1"/>
  <c r="E287" i="4"/>
  <c r="F287" i="4" s="1"/>
  <c r="D288" i="4" s="1"/>
  <c r="M237" i="4" l="1"/>
  <c r="N237" i="4" s="1"/>
  <c r="L238" i="4" s="1"/>
  <c r="E288" i="4"/>
  <c r="F288" i="4" s="1"/>
  <c r="D289" i="4" s="1"/>
  <c r="E289" i="4" l="1"/>
  <c r="F289" i="4" s="1"/>
  <c r="D290" i="4" s="1"/>
  <c r="M238" i="4" l="1"/>
  <c r="N238" i="4" s="1"/>
  <c r="L239" i="4" s="1"/>
  <c r="E290" i="4"/>
  <c r="F290" i="4" s="1"/>
  <c r="D291" i="4" s="1"/>
  <c r="M239" i="4" l="1"/>
  <c r="N239" i="4" s="1"/>
  <c r="L240" i="4" s="1"/>
  <c r="E291" i="4"/>
  <c r="F291" i="4" s="1"/>
  <c r="D292" i="4" s="1"/>
  <c r="M240" i="4" l="1"/>
  <c r="N240" i="4" s="1"/>
  <c r="L241" i="4" s="1"/>
  <c r="E292" i="4"/>
  <c r="F292" i="4" s="1"/>
  <c r="D293" i="4" s="1"/>
  <c r="E293" i="4" l="1"/>
  <c r="F293" i="4" s="1"/>
  <c r="D294" i="4" s="1"/>
  <c r="M241" i="4" l="1"/>
  <c r="N241" i="4" s="1"/>
  <c r="L242" i="4" s="1"/>
  <c r="E294" i="4"/>
  <c r="F294" i="4" s="1"/>
  <c r="D295" i="4" s="1"/>
  <c r="M242" i="4" l="1"/>
  <c r="N242" i="4" s="1"/>
  <c r="L243" i="4" s="1"/>
  <c r="E295" i="4"/>
  <c r="F295" i="4" s="1"/>
  <c r="D296" i="4" s="1"/>
  <c r="E296" i="4" l="1"/>
  <c r="F296" i="4" s="1"/>
  <c r="D297" i="4" s="1"/>
  <c r="M243" i="4" l="1"/>
  <c r="N243" i="4" s="1"/>
  <c r="L244" i="4" s="1"/>
  <c r="E297" i="4"/>
  <c r="F297" i="4" s="1"/>
  <c r="D298" i="4" s="1"/>
  <c r="M244" i="4" l="1"/>
  <c r="N244" i="4" s="1"/>
  <c r="L245" i="4" s="1"/>
  <c r="E298" i="4"/>
  <c r="F298" i="4" s="1"/>
  <c r="D299" i="4" s="1"/>
  <c r="M245" i="4" l="1"/>
  <c r="N245" i="4" s="1"/>
  <c r="L246" i="4" s="1"/>
  <c r="E299" i="4"/>
  <c r="F299" i="4" s="1"/>
  <c r="D300" i="4" s="1"/>
  <c r="M246" i="4" l="1"/>
  <c r="N246" i="4" s="1"/>
  <c r="L247" i="4" s="1"/>
  <c r="E300" i="4"/>
  <c r="F300" i="4" s="1"/>
  <c r="D301" i="4" s="1"/>
  <c r="E301" i="4" l="1"/>
  <c r="F301" i="4" s="1"/>
  <c r="D302" i="4" s="1"/>
  <c r="M247" i="4" l="1"/>
  <c r="N247" i="4" s="1"/>
  <c r="L248" i="4" s="1"/>
  <c r="E302" i="4"/>
  <c r="F302" i="4" s="1"/>
  <c r="D303" i="4" s="1"/>
  <c r="M248" i="4" l="1"/>
  <c r="N248" i="4" s="1"/>
  <c r="L249" i="4" s="1"/>
  <c r="E303" i="4"/>
  <c r="F303" i="4" s="1"/>
  <c r="D304" i="4" s="1"/>
  <c r="M249" i="4" l="1"/>
  <c r="N249" i="4" s="1"/>
  <c r="L250" i="4" s="1"/>
  <c r="E304" i="4"/>
  <c r="F304" i="4" s="1"/>
  <c r="D305" i="4" s="1"/>
  <c r="E305" i="4" l="1"/>
  <c r="F305" i="4" s="1"/>
  <c r="D306" i="4" s="1"/>
  <c r="M250" i="4" l="1"/>
  <c r="N250" i="4" s="1"/>
  <c r="L251" i="4" s="1"/>
  <c r="E306" i="4"/>
  <c r="F306" i="4" s="1"/>
  <c r="D307" i="4" s="1"/>
  <c r="M251" i="4" l="1"/>
  <c r="N251" i="4" s="1"/>
  <c r="L252" i="4" s="1"/>
  <c r="E307" i="4"/>
  <c r="F307" i="4" s="1"/>
  <c r="D308" i="4" s="1"/>
  <c r="M252" i="4" l="1"/>
  <c r="N252" i="4" s="1"/>
  <c r="L253" i="4" s="1"/>
  <c r="E308" i="4"/>
  <c r="F308" i="4" s="1"/>
  <c r="D309" i="4" s="1"/>
  <c r="M253" i="4" l="1"/>
  <c r="N253" i="4" s="1"/>
  <c r="L254" i="4" s="1"/>
  <c r="E309" i="4"/>
  <c r="F309" i="4" s="1"/>
  <c r="D310" i="4" s="1"/>
  <c r="M254" i="4" l="1"/>
  <c r="N254" i="4" s="1"/>
  <c r="L255" i="4" s="1"/>
  <c r="E310" i="4"/>
  <c r="F310" i="4" s="1"/>
  <c r="D311" i="4" s="1"/>
  <c r="M255" i="4" l="1"/>
  <c r="N255" i="4" s="1"/>
  <c r="L256" i="4" s="1"/>
  <c r="E311" i="4"/>
  <c r="F311" i="4" s="1"/>
  <c r="D312" i="4" s="1"/>
  <c r="E312" i="4" l="1"/>
  <c r="F312" i="4" s="1"/>
  <c r="D313" i="4" s="1"/>
  <c r="M256" i="4" l="1"/>
  <c r="N256" i="4" s="1"/>
  <c r="L257" i="4" s="1"/>
  <c r="E313" i="4"/>
  <c r="F313" i="4" s="1"/>
  <c r="D314" i="4" s="1"/>
  <c r="M257" i="4" l="1"/>
  <c r="N257" i="4" s="1"/>
  <c r="L258" i="4" s="1"/>
  <c r="E314" i="4"/>
  <c r="F314" i="4" s="1"/>
  <c r="D315" i="4" s="1"/>
  <c r="M258" i="4" l="1"/>
  <c r="N258" i="4" s="1"/>
  <c r="L259" i="4" s="1"/>
  <c r="E315" i="4"/>
  <c r="F315" i="4" s="1"/>
  <c r="D316" i="4" s="1"/>
  <c r="E316" i="4" l="1"/>
  <c r="F316" i="4" s="1"/>
  <c r="D317" i="4" s="1"/>
  <c r="M259" i="4" l="1"/>
  <c r="N259" i="4" s="1"/>
  <c r="L260" i="4" s="1"/>
  <c r="E317" i="4"/>
  <c r="F317" i="4" s="1"/>
  <c r="D318" i="4" s="1"/>
  <c r="M260" i="4" l="1"/>
  <c r="N260" i="4" s="1"/>
  <c r="L261" i="4" s="1"/>
  <c r="E318" i="4"/>
  <c r="F318" i="4" s="1"/>
  <c r="D319" i="4" s="1"/>
  <c r="E319" i="4" l="1"/>
  <c r="F319" i="4" s="1"/>
  <c r="D320" i="4" s="1"/>
  <c r="M261" i="4" l="1"/>
  <c r="N261" i="4" s="1"/>
  <c r="L262" i="4" s="1"/>
  <c r="E320" i="4"/>
  <c r="F320" i="4" s="1"/>
  <c r="D321" i="4" s="1"/>
  <c r="M262" i="4" l="1"/>
  <c r="N262" i="4" s="1"/>
  <c r="L263" i="4" s="1"/>
  <c r="E321" i="4"/>
  <c r="F321" i="4" s="1"/>
  <c r="D322" i="4" s="1"/>
  <c r="M263" i="4" l="1"/>
  <c r="N263" i="4" s="1"/>
  <c r="L264" i="4" s="1"/>
  <c r="E322" i="4"/>
  <c r="F322" i="4" s="1"/>
  <c r="D323" i="4" s="1"/>
  <c r="M264" i="4" l="1"/>
  <c r="N264" i="4" s="1"/>
  <c r="L265" i="4" s="1"/>
  <c r="E323" i="4"/>
  <c r="F323" i="4" s="1"/>
  <c r="D324" i="4" s="1"/>
  <c r="M265" i="4" l="1"/>
  <c r="N265" i="4" s="1"/>
  <c r="L266" i="4" s="1"/>
  <c r="E324" i="4"/>
  <c r="F324" i="4" s="1"/>
  <c r="D325" i="4" s="1"/>
  <c r="M266" i="4" l="1"/>
  <c r="N266" i="4" s="1"/>
  <c r="L267" i="4" s="1"/>
  <c r="E325" i="4"/>
  <c r="F325" i="4" s="1"/>
  <c r="D326" i="4" s="1"/>
  <c r="M267" i="4" l="1"/>
  <c r="N267" i="4" s="1"/>
  <c r="L268" i="4" s="1"/>
  <c r="E326" i="4"/>
  <c r="F326" i="4" s="1"/>
  <c r="D327" i="4" s="1"/>
  <c r="M268" i="4" l="1"/>
  <c r="N268" i="4" s="1"/>
  <c r="L269" i="4" s="1"/>
  <c r="E327" i="4"/>
  <c r="F327" i="4" s="1"/>
  <c r="D328" i="4" s="1"/>
  <c r="M269" i="4" l="1"/>
  <c r="N269" i="4" s="1"/>
  <c r="L270" i="4" s="1"/>
  <c r="E328" i="4"/>
  <c r="F328" i="4" s="1"/>
  <c r="D329" i="4" s="1"/>
  <c r="M270" i="4" l="1"/>
  <c r="N270" i="4" s="1"/>
  <c r="L271" i="4" s="1"/>
  <c r="E329" i="4"/>
  <c r="F329" i="4" s="1"/>
  <c r="D330" i="4" s="1"/>
  <c r="M271" i="4" l="1"/>
  <c r="N271" i="4" s="1"/>
  <c r="L272" i="4" s="1"/>
  <c r="E330" i="4"/>
  <c r="F330" i="4" s="1"/>
  <c r="D331" i="4" s="1"/>
  <c r="M272" i="4" l="1"/>
  <c r="N272" i="4" s="1"/>
  <c r="L273" i="4" s="1"/>
  <c r="E331" i="4"/>
  <c r="F331" i="4" s="1"/>
  <c r="D332" i="4" s="1"/>
  <c r="M273" i="4" l="1"/>
  <c r="N273" i="4" s="1"/>
  <c r="L274" i="4" s="1"/>
  <c r="E332" i="4"/>
  <c r="F332" i="4" s="1"/>
  <c r="D333" i="4" s="1"/>
  <c r="E333" i="4" l="1"/>
  <c r="F333" i="4" s="1"/>
  <c r="D334" i="4" s="1"/>
  <c r="M274" i="4" l="1"/>
  <c r="N274" i="4" s="1"/>
  <c r="L275" i="4" s="1"/>
  <c r="E334" i="4"/>
  <c r="F334" i="4" s="1"/>
  <c r="D335" i="4" s="1"/>
  <c r="M275" i="4" l="1"/>
  <c r="N275" i="4" s="1"/>
  <c r="L276" i="4" s="1"/>
  <c r="E335" i="4"/>
  <c r="F335" i="4" s="1"/>
  <c r="D336" i="4" s="1"/>
  <c r="M276" i="4" l="1"/>
  <c r="N276" i="4" s="1"/>
  <c r="L277" i="4" s="1"/>
  <c r="E336" i="4"/>
  <c r="F336" i="4" s="1"/>
  <c r="D337" i="4" s="1"/>
  <c r="E337" i="4" l="1"/>
  <c r="F337" i="4" s="1"/>
  <c r="D338" i="4" s="1"/>
  <c r="M277" i="4" l="1"/>
  <c r="N277" i="4" s="1"/>
  <c r="L278" i="4" s="1"/>
  <c r="E338" i="4"/>
  <c r="F338" i="4" s="1"/>
  <c r="D339" i="4" s="1"/>
  <c r="M278" i="4" l="1"/>
  <c r="N278" i="4" s="1"/>
  <c r="L279" i="4" s="1"/>
  <c r="E339" i="4"/>
  <c r="F339" i="4" s="1"/>
  <c r="D340" i="4" s="1"/>
  <c r="E340" i="4" l="1"/>
  <c r="F340" i="4" s="1"/>
  <c r="D341" i="4" s="1"/>
  <c r="M279" i="4" l="1"/>
  <c r="N279" i="4" s="1"/>
  <c r="L280" i="4" s="1"/>
  <c r="E341" i="4"/>
  <c r="F341" i="4" s="1"/>
  <c r="D342" i="4" s="1"/>
  <c r="E342" i="4" l="1"/>
  <c r="F342" i="4" s="1"/>
  <c r="D343" i="4" s="1"/>
  <c r="M280" i="4" l="1"/>
  <c r="N280" i="4" s="1"/>
  <c r="L281" i="4" s="1"/>
  <c r="E343" i="4"/>
  <c r="F343" i="4" s="1"/>
  <c r="D344" i="4" s="1"/>
  <c r="M281" i="4" l="1"/>
  <c r="N281" i="4" s="1"/>
  <c r="L282" i="4" s="1"/>
  <c r="E344" i="4"/>
  <c r="F344" i="4" s="1"/>
  <c r="D345" i="4" s="1"/>
  <c r="M282" i="4" l="1"/>
  <c r="N282" i="4" s="1"/>
  <c r="L283" i="4" s="1"/>
  <c r="E345" i="4"/>
  <c r="F345" i="4" s="1"/>
  <c r="D346" i="4" s="1"/>
  <c r="E346" i="4" l="1"/>
  <c r="F346" i="4" s="1"/>
  <c r="D347" i="4" s="1"/>
  <c r="M283" i="4" l="1"/>
  <c r="N283" i="4" s="1"/>
  <c r="L284" i="4" s="1"/>
  <c r="E347" i="4"/>
  <c r="F347" i="4" s="1"/>
  <c r="D348" i="4" s="1"/>
  <c r="M284" i="4" l="1"/>
  <c r="N284" i="4" s="1"/>
  <c r="L285" i="4" s="1"/>
  <c r="E348" i="4"/>
  <c r="F348" i="4" s="1"/>
  <c r="D349" i="4" s="1"/>
  <c r="M285" i="4" l="1"/>
  <c r="N285" i="4" s="1"/>
  <c r="L286" i="4" s="1"/>
  <c r="E349" i="4"/>
  <c r="F349" i="4" s="1"/>
  <c r="D350" i="4" s="1"/>
  <c r="M286" i="4" l="1"/>
  <c r="N286" i="4" s="1"/>
  <c r="L287" i="4" s="1"/>
  <c r="E350" i="4"/>
  <c r="F350" i="4" s="1"/>
  <c r="D351" i="4" s="1"/>
  <c r="M287" i="4" l="1"/>
  <c r="N287" i="4" s="1"/>
  <c r="L288" i="4" s="1"/>
  <c r="E351" i="4"/>
  <c r="F351" i="4" s="1"/>
  <c r="D352" i="4" s="1"/>
  <c r="E352" i="4" l="1"/>
  <c r="F352" i="4" s="1"/>
  <c r="D353" i="4" s="1"/>
  <c r="M288" i="4" l="1"/>
  <c r="N288" i="4" s="1"/>
  <c r="L289" i="4" s="1"/>
  <c r="E353" i="4"/>
  <c r="F353" i="4" s="1"/>
  <c r="D354" i="4" s="1"/>
  <c r="M289" i="4" l="1"/>
  <c r="N289" i="4" s="1"/>
  <c r="L290" i="4" s="1"/>
  <c r="E354" i="4"/>
  <c r="F354" i="4" s="1"/>
  <c r="D355" i="4" s="1"/>
  <c r="M290" i="4" l="1"/>
  <c r="N290" i="4" s="1"/>
  <c r="L291" i="4" s="1"/>
  <c r="E355" i="4"/>
  <c r="F355" i="4" s="1"/>
  <c r="D356" i="4" s="1"/>
  <c r="M291" i="4" l="1"/>
  <c r="N291" i="4" s="1"/>
  <c r="L292" i="4" s="1"/>
  <c r="E356" i="4"/>
  <c r="F356" i="4" s="1"/>
  <c r="D357" i="4" s="1"/>
  <c r="E357" i="4" l="1"/>
  <c r="F357" i="4" s="1"/>
  <c r="D358" i="4" s="1"/>
  <c r="M292" i="4" l="1"/>
  <c r="N292" i="4" s="1"/>
  <c r="L293" i="4" s="1"/>
  <c r="E358" i="4"/>
  <c r="F358" i="4" s="1"/>
  <c r="D359" i="4" s="1"/>
  <c r="M293" i="4" l="1"/>
  <c r="N293" i="4" s="1"/>
  <c r="L294" i="4" s="1"/>
  <c r="E359" i="4"/>
  <c r="F359" i="4" s="1"/>
  <c r="D360" i="4" s="1"/>
  <c r="M294" i="4" l="1"/>
  <c r="N294" i="4" s="1"/>
  <c r="L295" i="4" s="1"/>
  <c r="E360" i="4"/>
  <c r="F360" i="4" s="1"/>
  <c r="D361" i="4" s="1"/>
  <c r="M295" i="4" l="1"/>
  <c r="N295" i="4" s="1"/>
  <c r="L296" i="4" s="1"/>
  <c r="E361" i="4"/>
  <c r="F361" i="4" s="1"/>
  <c r="D362" i="4" s="1"/>
  <c r="M296" i="4" l="1"/>
  <c r="N296" i="4" s="1"/>
  <c r="L297" i="4" s="1"/>
  <c r="E362" i="4"/>
  <c r="F362" i="4" s="1"/>
  <c r="D363" i="4" s="1"/>
  <c r="M297" i="4" l="1"/>
  <c r="N297" i="4" s="1"/>
  <c r="L298" i="4" s="1"/>
  <c r="E363" i="4"/>
  <c r="F363" i="4" s="1"/>
  <c r="D364" i="4" s="1"/>
  <c r="M298" i="4" l="1"/>
  <c r="N298" i="4" s="1"/>
  <c r="L299" i="4" s="1"/>
  <c r="E364" i="4"/>
  <c r="F364" i="4" s="1"/>
  <c r="D365" i="4" s="1"/>
  <c r="M299" i="4" l="1"/>
  <c r="N299" i="4" s="1"/>
  <c r="L300" i="4" s="1"/>
  <c r="E365" i="4"/>
  <c r="F365" i="4" s="1"/>
  <c r="D366" i="4" s="1"/>
  <c r="M300" i="4" l="1"/>
  <c r="N300" i="4" s="1"/>
  <c r="L301" i="4" s="1"/>
  <c r="E366" i="4"/>
  <c r="F366" i="4" s="1"/>
  <c r="D367" i="4" s="1"/>
  <c r="E367" i="4" l="1"/>
  <c r="F367" i="4" s="1"/>
  <c r="D368" i="4" s="1"/>
  <c r="M301" i="4" l="1"/>
  <c r="N301" i="4" s="1"/>
  <c r="L302" i="4" s="1"/>
  <c r="E368" i="4"/>
  <c r="F368" i="4" s="1"/>
  <c r="D369" i="4" s="1"/>
  <c r="M302" i="4" l="1"/>
  <c r="N302" i="4" s="1"/>
  <c r="L303" i="4" s="1"/>
  <c r="E369" i="4"/>
  <c r="F369" i="4" s="1"/>
  <c r="D370" i="4" s="1"/>
  <c r="M303" i="4" l="1"/>
  <c r="N303" i="4" s="1"/>
  <c r="L304" i="4" s="1"/>
  <c r="E370" i="4"/>
  <c r="F370" i="4" s="1"/>
  <c r="D371" i="4" s="1"/>
  <c r="E371" i="4" l="1"/>
  <c r="F371" i="4" s="1"/>
  <c r="D372" i="4" s="1"/>
  <c r="M304" i="4" l="1"/>
  <c r="N304" i="4" s="1"/>
  <c r="L305" i="4" s="1"/>
  <c r="E372" i="4"/>
  <c r="F372" i="4" s="1"/>
  <c r="D373" i="4" s="1"/>
  <c r="M305" i="4" l="1"/>
  <c r="N305" i="4" s="1"/>
  <c r="L306" i="4" s="1"/>
  <c r="E373" i="4"/>
  <c r="F373" i="4" s="1"/>
  <c r="D374" i="4" s="1"/>
  <c r="E374" i="4" l="1"/>
  <c r="F374" i="4" s="1"/>
  <c r="D375" i="4" s="1"/>
  <c r="M306" i="4" l="1"/>
  <c r="N306" i="4" s="1"/>
  <c r="L307" i="4" s="1"/>
  <c r="E375" i="4"/>
  <c r="F375" i="4" s="1"/>
  <c r="D376" i="4" s="1"/>
  <c r="M307" i="4" l="1"/>
  <c r="N307" i="4" s="1"/>
  <c r="L308" i="4" s="1"/>
  <c r="E376" i="4"/>
  <c r="F376" i="4" s="1"/>
  <c r="D377" i="4" s="1"/>
  <c r="M308" i="4" l="1"/>
  <c r="N308" i="4" s="1"/>
  <c r="L309" i="4" s="1"/>
  <c r="E377" i="4"/>
  <c r="F377" i="4" s="1"/>
  <c r="D378" i="4" s="1"/>
  <c r="E378" i="4" l="1"/>
  <c r="F378" i="4" s="1"/>
  <c r="D379" i="4" s="1"/>
  <c r="M309" i="4" l="1"/>
  <c r="N309" i="4" s="1"/>
  <c r="L310" i="4" s="1"/>
  <c r="E379" i="4"/>
  <c r="F379" i="4" s="1"/>
  <c r="D380" i="4" s="1"/>
  <c r="M310" i="4" l="1"/>
  <c r="N310" i="4" s="1"/>
  <c r="L311" i="4" s="1"/>
  <c r="E380" i="4"/>
  <c r="F380" i="4" s="1"/>
  <c r="D381" i="4" s="1"/>
  <c r="M311" i="4" l="1"/>
  <c r="N311" i="4" s="1"/>
  <c r="L312" i="4" s="1"/>
  <c r="E381" i="4"/>
  <c r="F381" i="4" s="1"/>
  <c r="D382" i="4" s="1"/>
  <c r="M312" i="4" l="1"/>
  <c r="N312" i="4" s="1"/>
  <c r="L313" i="4" s="1"/>
  <c r="E382" i="4"/>
  <c r="F382" i="4" s="1"/>
  <c r="D383" i="4" s="1"/>
  <c r="M313" i="4" l="1"/>
  <c r="N313" i="4" s="1"/>
  <c r="L314" i="4" s="1"/>
  <c r="E383" i="4"/>
  <c r="F383" i="4" s="1"/>
  <c r="D384" i="4" s="1"/>
  <c r="M314" i="4" l="1"/>
  <c r="N314" i="4" s="1"/>
  <c r="L315" i="4" s="1"/>
  <c r="E384" i="4"/>
  <c r="F384" i="4" s="1"/>
  <c r="D385" i="4" s="1"/>
  <c r="M315" i="4" l="1"/>
  <c r="N315" i="4" s="1"/>
  <c r="L316" i="4" s="1"/>
  <c r="E385" i="4"/>
  <c r="F385" i="4" s="1"/>
  <c r="D386" i="4" s="1"/>
  <c r="M316" i="4" l="1"/>
  <c r="N316" i="4" s="1"/>
  <c r="L317" i="4" s="1"/>
  <c r="E386" i="4"/>
  <c r="F386" i="4" s="1"/>
  <c r="D387" i="4" s="1"/>
  <c r="M317" i="4" l="1"/>
  <c r="N317" i="4" s="1"/>
  <c r="L318" i="4" s="1"/>
  <c r="E387" i="4"/>
  <c r="F387" i="4" s="1"/>
  <c r="D388" i="4" s="1"/>
  <c r="E388" i="4" l="1"/>
  <c r="F388" i="4" s="1"/>
  <c r="D389" i="4" s="1"/>
  <c r="M318" i="4" l="1"/>
  <c r="N318" i="4" s="1"/>
  <c r="L319" i="4" s="1"/>
  <c r="E389" i="4"/>
  <c r="F389" i="4" s="1"/>
  <c r="D390" i="4" s="1"/>
  <c r="M319" i="4" l="1"/>
  <c r="N319" i="4" s="1"/>
  <c r="L320" i="4" s="1"/>
  <c r="E390" i="4"/>
  <c r="F390" i="4" s="1"/>
  <c r="D391" i="4" s="1"/>
  <c r="M320" i="4" l="1"/>
  <c r="N320" i="4" s="1"/>
  <c r="L321" i="4" s="1"/>
  <c r="E391" i="4"/>
  <c r="F391" i="4" s="1"/>
  <c r="D392" i="4" s="1"/>
  <c r="M321" i="4" l="1"/>
  <c r="N321" i="4" s="1"/>
  <c r="L322" i="4" s="1"/>
  <c r="E392" i="4"/>
  <c r="F392" i="4" s="1"/>
  <c r="D393" i="4" s="1"/>
  <c r="M322" i="4" l="1"/>
  <c r="N322" i="4" s="1"/>
  <c r="L323" i="4" s="1"/>
  <c r="E393" i="4"/>
  <c r="F393" i="4" s="1"/>
  <c r="D394" i="4" s="1"/>
  <c r="E394" i="4" l="1"/>
  <c r="F394" i="4" s="1"/>
  <c r="D395" i="4" s="1"/>
  <c r="M323" i="4" l="1"/>
  <c r="N323" i="4" s="1"/>
  <c r="L324" i="4" s="1"/>
  <c r="E395" i="4"/>
  <c r="F395" i="4" s="1"/>
  <c r="D396" i="4" s="1"/>
  <c r="M324" i="4" l="1"/>
  <c r="N324" i="4" s="1"/>
  <c r="L325" i="4" s="1"/>
  <c r="E396" i="4"/>
  <c r="F396" i="4" s="1"/>
  <c r="D397" i="4" s="1"/>
  <c r="M325" i="4" l="1"/>
  <c r="N325" i="4" s="1"/>
  <c r="L326" i="4" s="1"/>
  <c r="E397" i="4"/>
  <c r="F397" i="4" s="1"/>
  <c r="D398" i="4" s="1"/>
  <c r="M326" i="4" l="1"/>
  <c r="N326" i="4" s="1"/>
  <c r="L327" i="4" s="1"/>
  <c r="E398" i="4"/>
  <c r="F398" i="4" s="1"/>
  <c r="D399" i="4" s="1"/>
  <c r="M327" i="4" l="1"/>
  <c r="N327" i="4" s="1"/>
  <c r="L328" i="4" s="1"/>
  <c r="E399" i="4"/>
  <c r="F399" i="4" s="1"/>
  <c r="D400" i="4" s="1"/>
  <c r="M328" i="4" l="1"/>
  <c r="N328" i="4" s="1"/>
  <c r="L329" i="4" s="1"/>
  <c r="E400" i="4"/>
  <c r="F400" i="4" s="1"/>
  <c r="D401" i="4" s="1"/>
  <c r="E401" i="4" l="1"/>
  <c r="F401" i="4" s="1"/>
  <c r="D402" i="4" s="1"/>
  <c r="M329" i="4" l="1"/>
  <c r="N329" i="4" s="1"/>
  <c r="L330" i="4" s="1"/>
  <c r="E402" i="4"/>
  <c r="F402" i="4" s="1"/>
  <c r="D403" i="4" s="1"/>
  <c r="M330" i="4" l="1"/>
  <c r="N330" i="4" s="1"/>
  <c r="L331" i="4" s="1"/>
  <c r="E403" i="4"/>
  <c r="F403" i="4" s="1"/>
  <c r="D404" i="4" s="1"/>
  <c r="M331" i="4" l="1"/>
  <c r="N331" i="4" s="1"/>
  <c r="L332" i="4" s="1"/>
  <c r="E404" i="4"/>
  <c r="F404" i="4" s="1"/>
  <c r="D405" i="4" s="1"/>
  <c r="E405" i="4" l="1"/>
  <c r="F405" i="4" s="1"/>
  <c r="D406" i="4" s="1"/>
  <c r="M332" i="4" l="1"/>
  <c r="N332" i="4" s="1"/>
  <c r="L333" i="4" s="1"/>
  <c r="E406" i="4"/>
  <c r="F406" i="4" s="1"/>
  <c r="D407" i="4" s="1"/>
  <c r="M333" i="4" l="1"/>
  <c r="N333" i="4" s="1"/>
  <c r="L334" i="4" s="1"/>
  <c r="E407" i="4"/>
  <c r="F407" i="4" s="1"/>
  <c r="D408" i="4" s="1"/>
  <c r="M334" i="4" l="1"/>
  <c r="N334" i="4" s="1"/>
  <c r="L335" i="4" s="1"/>
  <c r="E408" i="4"/>
  <c r="F408" i="4" s="1"/>
  <c r="D409" i="4" s="1"/>
  <c r="E409" i="4" l="1"/>
  <c r="F409" i="4" s="1"/>
  <c r="D410" i="4" s="1"/>
  <c r="M335" i="4" l="1"/>
  <c r="N335" i="4" s="1"/>
  <c r="L336" i="4" s="1"/>
  <c r="E410" i="4"/>
  <c r="F410" i="4" s="1"/>
  <c r="D411" i="4" s="1"/>
  <c r="M336" i="4" l="1"/>
  <c r="N336" i="4" s="1"/>
  <c r="L337" i="4" s="1"/>
  <c r="E411" i="4"/>
  <c r="F411" i="4" s="1"/>
  <c r="D412" i="4" s="1"/>
  <c r="M337" i="4" l="1"/>
  <c r="N337" i="4" s="1"/>
  <c r="L338" i="4" s="1"/>
  <c r="E412" i="4"/>
  <c r="F412" i="4" s="1"/>
  <c r="D413" i="4" s="1"/>
  <c r="M338" i="4" l="1"/>
  <c r="N338" i="4" s="1"/>
  <c r="L339" i="4" s="1"/>
  <c r="E413" i="4"/>
  <c r="F413" i="4" s="1"/>
  <c r="D414" i="4" s="1"/>
  <c r="M339" i="4" l="1"/>
  <c r="N339" i="4" s="1"/>
  <c r="L340" i="4" s="1"/>
  <c r="E414" i="4"/>
  <c r="F414" i="4" s="1"/>
  <c r="D415" i="4" s="1"/>
  <c r="M340" i="4" l="1"/>
  <c r="N340" i="4" s="1"/>
  <c r="L341" i="4" s="1"/>
  <c r="E415" i="4"/>
  <c r="F415" i="4" s="1"/>
  <c r="D416" i="4" s="1"/>
  <c r="E416" i="4" l="1"/>
  <c r="F416" i="4" s="1"/>
  <c r="D417" i="4" s="1"/>
  <c r="M341" i="4" l="1"/>
  <c r="N341" i="4" s="1"/>
  <c r="L342" i="4" s="1"/>
  <c r="E417" i="4"/>
  <c r="F417" i="4" s="1"/>
  <c r="D418" i="4" s="1"/>
  <c r="M342" i="4" l="1"/>
  <c r="N342" i="4" s="1"/>
  <c r="L343" i="4" s="1"/>
  <c r="E418" i="4"/>
  <c r="F418" i="4" s="1"/>
  <c r="D419" i="4" s="1"/>
  <c r="M343" i="4" l="1"/>
  <c r="N343" i="4" s="1"/>
  <c r="L344" i="4" s="1"/>
  <c r="E419" i="4"/>
  <c r="F419" i="4" s="1"/>
  <c r="D420" i="4" s="1"/>
  <c r="E420" i="4" l="1"/>
  <c r="F420" i="4" s="1"/>
  <c r="D421" i="4" s="1"/>
  <c r="M344" i="4" l="1"/>
  <c r="N344" i="4" s="1"/>
  <c r="L345" i="4" s="1"/>
  <c r="E421" i="4"/>
  <c r="F421" i="4" s="1"/>
  <c r="D422" i="4" s="1"/>
  <c r="M345" i="4" l="1"/>
  <c r="N345" i="4" s="1"/>
  <c r="L346" i="4" s="1"/>
  <c r="E422" i="4"/>
  <c r="F422" i="4" s="1"/>
  <c r="D423" i="4" s="1"/>
  <c r="M346" i="4" l="1"/>
  <c r="N346" i="4" s="1"/>
  <c r="L347" i="4" s="1"/>
  <c r="E423" i="4"/>
  <c r="F423" i="4" s="1"/>
  <c r="D424" i="4" s="1"/>
  <c r="E424" i="4" l="1"/>
  <c r="F424" i="4" s="1"/>
  <c r="D425" i="4" s="1"/>
  <c r="M347" i="4" l="1"/>
  <c r="N347" i="4" s="1"/>
  <c r="L348" i="4" s="1"/>
  <c r="E425" i="4"/>
  <c r="F425" i="4" s="1"/>
  <c r="D426" i="4" s="1"/>
  <c r="M348" i="4" l="1"/>
  <c r="N348" i="4" s="1"/>
  <c r="L349" i="4" s="1"/>
  <c r="E426" i="4"/>
  <c r="F426" i="4" s="1"/>
  <c r="D427" i="4" s="1"/>
  <c r="M349" i="4" l="1"/>
  <c r="N349" i="4" s="1"/>
  <c r="L350" i="4" s="1"/>
  <c r="E427" i="4"/>
  <c r="F427" i="4" s="1"/>
  <c r="D428" i="4" s="1"/>
  <c r="E428" i="4" l="1"/>
  <c r="F428" i="4" s="1"/>
  <c r="D429" i="4" s="1"/>
  <c r="M350" i="4" l="1"/>
  <c r="N350" i="4" s="1"/>
  <c r="L351" i="4" s="1"/>
  <c r="E429" i="4"/>
  <c r="F429" i="4" s="1"/>
  <c r="D430" i="4" s="1"/>
  <c r="M351" i="4" l="1"/>
  <c r="N351" i="4" s="1"/>
  <c r="L352" i="4" s="1"/>
  <c r="E430" i="4"/>
  <c r="F430" i="4" s="1"/>
  <c r="D431" i="4" s="1"/>
  <c r="M352" i="4" l="1"/>
  <c r="N352" i="4" s="1"/>
  <c r="L353" i="4" s="1"/>
  <c r="E431" i="4"/>
  <c r="F431" i="4" s="1"/>
  <c r="D432" i="4" s="1"/>
  <c r="E432" i="4" l="1"/>
  <c r="F432" i="4" s="1"/>
  <c r="D433" i="4" s="1"/>
  <c r="M353" i="4" l="1"/>
  <c r="N353" i="4" s="1"/>
  <c r="L354" i="4" s="1"/>
  <c r="E433" i="4"/>
  <c r="F433" i="4" s="1"/>
  <c r="D434" i="4" s="1"/>
  <c r="M354" i="4" l="1"/>
  <c r="N354" i="4" s="1"/>
  <c r="L355" i="4" s="1"/>
  <c r="E434" i="4"/>
  <c r="F434" i="4" s="1"/>
  <c r="D435" i="4" s="1"/>
  <c r="M355" i="4" l="1"/>
  <c r="N355" i="4" s="1"/>
  <c r="L356" i="4" s="1"/>
  <c r="E435" i="4"/>
  <c r="F435" i="4" s="1"/>
  <c r="D436" i="4" s="1"/>
  <c r="E436" i="4" l="1"/>
  <c r="F436" i="4" s="1"/>
  <c r="D437" i="4" s="1"/>
  <c r="M356" i="4" l="1"/>
  <c r="N356" i="4" s="1"/>
  <c r="L357" i="4" s="1"/>
  <c r="E437" i="4"/>
  <c r="F437" i="4" s="1"/>
  <c r="D438" i="4" s="1"/>
  <c r="M357" i="4" l="1"/>
  <c r="N357" i="4" s="1"/>
  <c r="L358" i="4" s="1"/>
  <c r="E438" i="4"/>
  <c r="F438" i="4" s="1"/>
  <c r="D439" i="4" s="1"/>
  <c r="M358" i="4" l="1"/>
  <c r="N358" i="4" s="1"/>
  <c r="L359" i="4" s="1"/>
  <c r="E439" i="4"/>
  <c r="F439" i="4" s="1"/>
  <c r="D440" i="4" s="1"/>
  <c r="E440" i="4" l="1"/>
  <c r="F440" i="4" s="1"/>
  <c r="D441" i="4" s="1"/>
  <c r="M359" i="4" l="1"/>
  <c r="N359" i="4" s="1"/>
  <c r="L360" i="4" s="1"/>
  <c r="E441" i="4"/>
  <c r="F441" i="4" s="1"/>
  <c r="D442" i="4" s="1"/>
  <c r="M360" i="4" l="1"/>
  <c r="N360" i="4" s="1"/>
  <c r="L361" i="4" s="1"/>
  <c r="E442" i="4"/>
  <c r="F442" i="4" s="1"/>
  <c r="D443" i="4" s="1"/>
  <c r="M361" i="4" l="1"/>
  <c r="N361" i="4" s="1"/>
  <c r="L362" i="4" s="1"/>
  <c r="E443" i="4"/>
  <c r="F443" i="4" s="1"/>
  <c r="D444" i="4" s="1"/>
  <c r="M362" i="4" l="1"/>
  <c r="N362" i="4" s="1"/>
  <c r="L363" i="4" s="1"/>
  <c r="E444" i="4"/>
  <c r="F444" i="4" s="1"/>
  <c r="D445" i="4" s="1"/>
  <c r="M363" i="4" l="1"/>
  <c r="N363" i="4" s="1"/>
  <c r="L364" i="4" s="1"/>
  <c r="E445" i="4"/>
  <c r="F445" i="4" s="1"/>
  <c r="D446" i="4" s="1"/>
  <c r="M364" i="4" l="1"/>
  <c r="N364" i="4" s="1"/>
  <c r="L365" i="4" s="1"/>
  <c r="E446" i="4"/>
  <c r="F446" i="4" s="1"/>
  <c r="D447" i="4" s="1"/>
  <c r="E447" i="4" l="1"/>
  <c r="F447" i="4" s="1"/>
  <c r="D448" i="4" s="1"/>
  <c r="M365" i="4" l="1"/>
  <c r="N365" i="4" s="1"/>
  <c r="L366" i="4" s="1"/>
  <c r="E448" i="4"/>
  <c r="F448" i="4" s="1"/>
  <c r="D449" i="4" s="1"/>
  <c r="M366" i="4" l="1"/>
  <c r="N366" i="4" s="1"/>
  <c r="L367" i="4" s="1"/>
  <c r="E449" i="4"/>
  <c r="F449" i="4" s="1"/>
  <c r="D450" i="4" s="1"/>
  <c r="M367" i="4" l="1"/>
  <c r="N367" i="4" s="1"/>
  <c r="L368" i="4" s="1"/>
  <c r="E450" i="4"/>
  <c r="F450" i="4" s="1"/>
  <c r="D451" i="4" s="1"/>
  <c r="M368" i="4" l="1"/>
  <c r="N368" i="4" s="1"/>
  <c r="L369" i="4" s="1"/>
  <c r="E451" i="4"/>
  <c r="F451" i="4" s="1"/>
  <c r="D452" i="4" s="1"/>
  <c r="M369" i="4" l="1"/>
  <c r="N369" i="4" s="1"/>
  <c r="L370" i="4" s="1"/>
  <c r="E452" i="4"/>
  <c r="F452" i="4" s="1"/>
  <c r="D453" i="4" s="1"/>
  <c r="M370" i="4" l="1"/>
  <c r="N370" i="4" s="1"/>
  <c r="L371" i="4" s="1"/>
  <c r="E453" i="4"/>
  <c r="F453" i="4" s="1"/>
  <c r="D454" i="4" s="1"/>
  <c r="M371" i="4" l="1"/>
  <c r="N371" i="4" s="1"/>
  <c r="L372" i="4" s="1"/>
  <c r="E454" i="4"/>
  <c r="F454" i="4" s="1"/>
  <c r="D455" i="4" s="1"/>
  <c r="M372" i="4" l="1"/>
  <c r="N372" i="4" s="1"/>
  <c r="L373" i="4" s="1"/>
  <c r="E455" i="4"/>
  <c r="F455" i="4" s="1"/>
  <c r="D456" i="4" s="1"/>
  <c r="M373" i="4" l="1"/>
  <c r="N373" i="4" s="1"/>
  <c r="L374" i="4" s="1"/>
  <c r="E456" i="4"/>
  <c r="F456" i="4" s="1"/>
  <c r="D457" i="4" s="1"/>
  <c r="M374" i="4" l="1"/>
  <c r="N374" i="4" s="1"/>
  <c r="L375" i="4" s="1"/>
  <c r="E457" i="4"/>
  <c r="F457" i="4" s="1"/>
  <c r="D458" i="4" s="1"/>
  <c r="M375" i="4" l="1"/>
  <c r="N375" i="4" s="1"/>
  <c r="L376" i="4" s="1"/>
  <c r="E458" i="4"/>
  <c r="F458" i="4" s="1"/>
  <c r="D459" i="4" s="1"/>
  <c r="M376" i="4" l="1"/>
  <c r="N376" i="4" s="1"/>
  <c r="L377" i="4" s="1"/>
  <c r="E459" i="4"/>
  <c r="F459" i="4" s="1"/>
  <c r="D460" i="4" s="1"/>
  <c r="M377" i="4" l="1"/>
  <c r="N377" i="4" s="1"/>
  <c r="L378" i="4" s="1"/>
  <c r="E460" i="4"/>
  <c r="F460" i="4" s="1"/>
  <c r="D461" i="4" s="1"/>
  <c r="M378" i="4" l="1"/>
  <c r="N378" i="4" s="1"/>
  <c r="L379" i="4" s="1"/>
  <c r="E461" i="4"/>
  <c r="F461" i="4" s="1"/>
  <c r="D462" i="4" s="1"/>
  <c r="M379" i="4" l="1"/>
  <c r="N379" i="4" s="1"/>
  <c r="L380" i="4" s="1"/>
  <c r="E462" i="4"/>
  <c r="F462" i="4" s="1"/>
  <c r="D463" i="4" s="1"/>
  <c r="M380" i="4" l="1"/>
  <c r="N380" i="4" s="1"/>
  <c r="L381" i="4" s="1"/>
  <c r="E463" i="4"/>
  <c r="F463" i="4" s="1"/>
  <c r="D464" i="4" s="1"/>
  <c r="M381" i="4" l="1"/>
  <c r="N381" i="4" s="1"/>
  <c r="L382" i="4" s="1"/>
  <c r="E464" i="4"/>
  <c r="F464" i="4" s="1"/>
  <c r="D465" i="4" s="1"/>
  <c r="M382" i="4" l="1"/>
  <c r="N382" i="4" s="1"/>
  <c r="L383" i="4" s="1"/>
  <c r="E465" i="4"/>
  <c r="F465" i="4" s="1"/>
  <c r="D466" i="4" s="1"/>
  <c r="M383" i="4" l="1"/>
  <c r="N383" i="4" s="1"/>
  <c r="L384" i="4" s="1"/>
  <c r="E466" i="4"/>
  <c r="F466" i="4" s="1"/>
  <c r="D467" i="4" s="1"/>
  <c r="M384" i="4" l="1"/>
  <c r="N384" i="4" s="1"/>
  <c r="L385" i="4" s="1"/>
  <c r="E467" i="4"/>
  <c r="F467" i="4" s="1"/>
  <c r="D468" i="4" s="1"/>
  <c r="M385" i="4" l="1"/>
  <c r="N385" i="4" s="1"/>
  <c r="L386" i="4" s="1"/>
  <c r="E468" i="4"/>
  <c r="F468" i="4" s="1"/>
  <c r="D469" i="4" s="1"/>
  <c r="M386" i="4" l="1"/>
  <c r="N386" i="4" s="1"/>
  <c r="L387" i="4" s="1"/>
  <c r="E469" i="4"/>
  <c r="F469" i="4" s="1"/>
  <c r="D470" i="4" s="1"/>
  <c r="M387" i="4" l="1"/>
  <c r="N387" i="4" s="1"/>
  <c r="L388" i="4" s="1"/>
  <c r="E470" i="4"/>
  <c r="F470" i="4" s="1"/>
  <c r="D471" i="4" s="1"/>
  <c r="M388" i="4" l="1"/>
  <c r="N388" i="4" s="1"/>
  <c r="L389" i="4" s="1"/>
  <c r="E471" i="4"/>
  <c r="F471" i="4" s="1"/>
  <c r="D472" i="4" s="1"/>
  <c r="M389" i="4" l="1"/>
  <c r="N389" i="4" s="1"/>
  <c r="L390" i="4" s="1"/>
  <c r="E472" i="4"/>
  <c r="F472" i="4" s="1"/>
  <c r="D473" i="4" s="1"/>
  <c r="M390" i="4" l="1"/>
  <c r="N390" i="4" s="1"/>
  <c r="L391" i="4" s="1"/>
  <c r="E473" i="4"/>
  <c r="F473" i="4" s="1"/>
  <c r="D474" i="4" s="1"/>
  <c r="E474" i="4" l="1"/>
  <c r="F474" i="4" s="1"/>
  <c r="D475" i="4" s="1"/>
  <c r="M391" i="4" l="1"/>
  <c r="N391" i="4" s="1"/>
  <c r="L392" i="4" s="1"/>
  <c r="E475" i="4"/>
  <c r="F475" i="4" s="1"/>
  <c r="D476" i="4" s="1"/>
  <c r="E476" i="4" l="1"/>
  <c r="F476" i="4" s="1"/>
  <c r="D477" i="4" s="1"/>
  <c r="M392" i="4" l="1"/>
  <c r="N392" i="4" s="1"/>
  <c r="L393" i="4" s="1"/>
  <c r="E477" i="4"/>
  <c r="F477" i="4" s="1"/>
  <c r="D478" i="4" s="1"/>
  <c r="M393" i="4" l="1"/>
  <c r="N393" i="4" s="1"/>
  <c r="L394" i="4" s="1"/>
  <c r="E478" i="4"/>
  <c r="F478" i="4" s="1"/>
  <c r="D479" i="4" s="1"/>
  <c r="M394" i="4" l="1"/>
  <c r="N394" i="4" s="1"/>
  <c r="L395" i="4" s="1"/>
  <c r="E479" i="4"/>
  <c r="F479" i="4" s="1"/>
  <c r="D480" i="4" s="1"/>
  <c r="M395" i="4" l="1"/>
  <c r="N395" i="4" s="1"/>
  <c r="L396" i="4" s="1"/>
  <c r="E480" i="4"/>
  <c r="F480" i="4" s="1"/>
  <c r="D481" i="4" s="1"/>
  <c r="M396" i="4" l="1"/>
  <c r="N396" i="4" s="1"/>
  <c r="L397" i="4" s="1"/>
  <c r="E481" i="4"/>
  <c r="F481" i="4" s="1"/>
  <c r="D482" i="4" s="1"/>
  <c r="M397" i="4" l="1"/>
  <c r="N397" i="4" s="1"/>
  <c r="L398" i="4" s="1"/>
  <c r="E482" i="4"/>
  <c r="F482" i="4" s="1"/>
  <c r="D483" i="4" s="1"/>
  <c r="M398" i="4" l="1"/>
  <c r="N398" i="4" s="1"/>
  <c r="L399" i="4" s="1"/>
  <c r="E483" i="4"/>
  <c r="F483" i="4" s="1"/>
  <c r="D484" i="4" s="1"/>
  <c r="M399" i="4" l="1"/>
  <c r="N399" i="4" s="1"/>
  <c r="L400" i="4" s="1"/>
  <c r="E484" i="4"/>
  <c r="F484" i="4" s="1"/>
  <c r="D485" i="4" s="1"/>
  <c r="M400" i="4" l="1"/>
  <c r="N400" i="4" s="1"/>
  <c r="L401" i="4" s="1"/>
  <c r="E485" i="4"/>
  <c r="F485" i="4" s="1"/>
  <c r="D486" i="4" s="1"/>
  <c r="E486" i="4" l="1"/>
  <c r="F486" i="4" s="1"/>
  <c r="D487" i="4" s="1"/>
  <c r="M401" i="4" l="1"/>
  <c r="N401" i="4" s="1"/>
  <c r="L402" i="4" s="1"/>
  <c r="E487" i="4"/>
  <c r="F487" i="4" s="1"/>
  <c r="D488" i="4" s="1"/>
  <c r="M402" i="4" l="1"/>
  <c r="N402" i="4" s="1"/>
  <c r="L403" i="4" s="1"/>
  <c r="E488" i="4"/>
  <c r="F488" i="4" s="1"/>
  <c r="D489" i="4" s="1"/>
  <c r="M403" i="4" l="1"/>
  <c r="N403" i="4" s="1"/>
  <c r="L404" i="4" s="1"/>
  <c r="E489" i="4"/>
  <c r="F489" i="4" s="1"/>
  <c r="D490" i="4" s="1"/>
  <c r="E490" i="4" l="1"/>
  <c r="F490" i="4" s="1"/>
  <c r="D491" i="4" s="1"/>
  <c r="M404" i="4" l="1"/>
  <c r="N404" i="4" s="1"/>
  <c r="L405" i="4" s="1"/>
  <c r="E491" i="4"/>
  <c r="F491" i="4" s="1"/>
  <c r="D492" i="4" s="1"/>
  <c r="M405" i="4" l="1"/>
  <c r="N405" i="4" s="1"/>
  <c r="L406" i="4" s="1"/>
  <c r="E492" i="4"/>
  <c r="F492" i="4" s="1"/>
  <c r="D493" i="4" s="1"/>
  <c r="E493" i="4" l="1"/>
  <c r="F493" i="4" s="1"/>
  <c r="D494" i="4" s="1"/>
  <c r="M406" i="4" l="1"/>
  <c r="N406" i="4" s="1"/>
  <c r="L407" i="4" s="1"/>
  <c r="E494" i="4"/>
  <c r="F494" i="4" s="1"/>
  <c r="D495" i="4" s="1"/>
  <c r="E495" i="4" l="1"/>
  <c r="F495" i="4" s="1"/>
  <c r="D496" i="4" s="1"/>
  <c r="M407" i="4" l="1"/>
  <c r="N407" i="4" s="1"/>
  <c r="L408" i="4" s="1"/>
  <c r="E496" i="4"/>
  <c r="F496" i="4" s="1"/>
  <c r="D497" i="4" s="1"/>
  <c r="M408" i="4" l="1"/>
  <c r="N408" i="4" s="1"/>
  <c r="L409" i="4" s="1"/>
  <c r="E497" i="4"/>
  <c r="F497" i="4" s="1"/>
  <c r="D498" i="4" s="1"/>
  <c r="M409" i="4" l="1"/>
  <c r="N409" i="4" s="1"/>
  <c r="L410" i="4" s="1"/>
  <c r="E498" i="4"/>
  <c r="F498" i="4" s="1"/>
  <c r="D499" i="4" s="1"/>
  <c r="E499" i="4" l="1"/>
  <c r="F499" i="4" s="1"/>
  <c r="D500" i="4" s="1"/>
  <c r="M410" i="4" l="1"/>
  <c r="N410" i="4" s="1"/>
  <c r="L411" i="4" s="1"/>
  <c r="E500" i="4"/>
  <c r="F500" i="4" s="1"/>
  <c r="D501" i="4" s="1"/>
  <c r="M411" i="4" l="1"/>
  <c r="N411" i="4" s="1"/>
  <c r="L412" i="4" s="1"/>
  <c r="E501" i="4"/>
  <c r="F501" i="4" s="1"/>
  <c r="D502" i="4" s="1"/>
  <c r="M412" i="4" l="1"/>
  <c r="N412" i="4" s="1"/>
  <c r="L413" i="4" s="1"/>
  <c r="E502" i="4"/>
  <c r="F502" i="4" s="1"/>
  <c r="D503" i="4" s="1"/>
  <c r="M413" i="4" l="1"/>
  <c r="N413" i="4" s="1"/>
  <c r="L414" i="4" s="1"/>
  <c r="E503" i="4"/>
  <c r="F503" i="4" s="1"/>
  <c r="D504" i="4" s="1"/>
  <c r="M414" i="4" l="1"/>
  <c r="N414" i="4" s="1"/>
  <c r="L415" i="4" s="1"/>
  <c r="E504" i="4"/>
  <c r="F504" i="4" s="1"/>
  <c r="D505" i="4" s="1"/>
  <c r="E505" i="4" l="1"/>
  <c r="F505" i="4" s="1"/>
  <c r="D506" i="4" s="1"/>
  <c r="M415" i="4" l="1"/>
  <c r="N415" i="4" s="1"/>
  <c r="L416" i="4" s="1"/>
  <c r="E506" i="4"/>
  <c r="F506" i="4" s="1"/>
  <c r="D507" i="4" s="1"/>
  <c r="M416" i="4" l="1"/>
  <c r="N416" i="4" s="1"/>
  <c r="L417" i="4" s="1"/>
  <c r="E507" i="4"/>
  <c r="F507" i="4" s="1"/>
  <c r="D508" i="4" s="1"/>
  <c r="M417" i="4" l="1"/>
  <c r="N417" i="4" s="1"/>
  <c r="L418" i="4" s="1"/>
  <c r="E508" i="4"/>
  <c r="F508" i="4" s="1"/>
  <c r="D509" i="4" s="1"/>
  <c r="M418" i="4" l="1"/>
  <c r="N418" i="4" s="1"/>
  <c r="L419" i="4" s="1"/>
  <c r="E509" i="4"/>
  <c r="F509" i="4" s="1"/>
  <c r="D510" i="4" s="1"/>
  <c r="M419" i="4" l="1"/>
  <c r="N419" i="4" s="1"/>
  <c r="L420" i="4" s="1"/>
  <c r="E510" i="4"/>
  <c r="F510" i="4" s="1"/>
  <c r="D511" i="4" s="1"/>
  <c r="M420" i="4" l="1"/>
  <c r="N420" i="4" s="1"/>
  <c r="L421" i="4" s="1"/>
  <c r="E511" i="4"/>
  <c r="F511" i="4" s="1"/>
  <c r="M421" i="4" l="1"/>
  <c r="N421" i="4" s="1"/>
  <c r="L422" i="4" s="1"/>
  <c r="M422" i="4" l="1"/>
  <c r="N422" i="4" s="1"/>
  <c r="L423" i="4" s="1"/>
  <c r="M423" i="4" l="1"/>
  <c r="N423" i="4" s="1"/>
  <c r="L424" i="4" s="1"/>
  <c r="M424" i="4" l="1"/>
  <c r="N424" i="4" s="1"/>
  <c r="L425" i="4" s="1"/>
  <c r="M425" i="4" l="1"/>
  <c r="N425" i="4" s="1"/>
  <c r="L426" i="4" s="1"/>
  <c r="M426" i="4" l="1"/>
  <c r="N426" i="4" s="1"/>
  <c r="L427" i="4" s="1"/>
  <c r="M427" i="4" l="1"/>
  <c r="N427" i="4" s="1"/>
  <c r="L428" i="4" s="1"/>
  <c r="M428" i="4" l="1"/>
  <c r="N428" i="4" s="1"/>
  <c r="L429" i="4" s="1"/>
  <c r="M429" i="4" l="1"/>
  <c r="N429" i="4" s="1"/>
  <c r="L430" i="4" s="1"/>
  <c r="M430" i="4" l="1"/>
  <c r="N430" i="4" s="1"/>
  <c r="L431" i="4" s="1"/>
  <c r="M431" i="4" l="1"/>
  <c r="N431" i="4" s="1"/>
  <c r="L432" i="4" s="1"/>
  <c r="M432" i="4" l="1"/>
  <c r="N432" i="4" s="1"/>
  <c r="L433" i="4" s="1"/>
  <c r="M433" i="4" l="1"/>
  <c r="N433" i="4" s="1"/>
  <c r="L434" i="4" s="1"/>
  <c r="M434" i="4" l="1"/>
  <c r="N434" i="4" s="1"/>
  <c r="L435" i="4" s="1"/>
  <c r="M435" i="4" l="1"/>
  <c r="N435" i="4" s="1"/>
  <c r="L436" i="4" s="1"/>
  <c r="M436" i="4" l="1"/>
  <c r="N436" i="4" s="1"/>
  <c r="L437" i="4" s="1"/>
  <c r="M437" i="4" l="1"/>
  <c r="N437" i="4" s="1"/>
  <c r="L438" i="4" s="1"/>
  <c r="M438" i="4" l="1"/>
  <c r="N438" i="4" s="1"/>
  <c r="L439" i="4" s="1"/>
  <c r="M439" i="4" l="1"/>
  <c r="N439" i="4" s="1"/>
  <c r="L440" i="4" s="1"/>
  <c r="M440" i="4" l="1"/>
  <c r="N440" i="4" s="1"/>
  <c r="L441" i="4" s="1"/>
  <c r="M441" i="4" l="1"/>
  <c r="N441" i="4" s="1"/>
  <c r="L442" i="4" s="1"/>
  <c r="M442" i="4" l="1"/>
  <c r="N442" i="4" s="1"/>
  <c r="L443" i="4" s="1"/>
  <c r="M443" i="4" l="1"/>
  <c r="N443" i="4" s="1"/>
  <c r="L444" i="4" s="1"/>
  <c r="M444" i="4" l="1"/>
  <c r="N444" i="4" s="1"/>
  <c r="L445" i="4" s="1"/>
  <c r="M445" i="4" l="1"/>
  <c r="N445" i="4" s="1"/>
  <c r="L446" i="4" s="1"/>
  <c r="M446" i="4" l="1"/>
  <c r="N446" i="4" s="1"/>
  <c r="L447" i="4" s="1"/>
  <c r="M447" i="4" l="1"/>
  <c r="N447" i="4" s="1"/>
  <c r="L448" i="4" s="1"/>
  <c r="M448" i="4" l="1"/>
  <c r="N448" i="4" s="1"/>
  <c r="L449" i="4" s="1"/>
  <c r="M449" i="4" l="1"/>
  <c r="N449" i="4" s="1"/>
  <c r="L450" i="4" s="1"/>
  <c r="M450" i="4" l="1"/>
  <c r="N450" i="4" s="1"/>
  <c r="L451" i="4" s="1"/>
  <c r="M451" i="4" l="1"/>
  <c r="N451" i="4" s="1"/>
  <c r="L452" i="4" s="1"/>
  <c r="M452" i="4" l="1"/>
  <c r="N452" i="4" s="1"/>
  <c r="L453" i="4" s="1"/>
  <c r="M453" i="4" l="1"/>
  <c r="N453" i="4" s="1"/>
  <c r="L454" i="4" s="1"/>
  <c r="M454" i="4" l="1"/>
  <c r="N454" i="4" s="1"/>
  <c r="L455" i="4" s="1"/>
  <c r="M455" i="4" l="1"/>
  <c r="N455" i="4" s="1"/>
  <c r="L456" i="4" s="1"/>
  <c r="M456" i="4" l="1"/>
  <c r="N456" i="4" s="1"/>
  <c r="L457" i="4" s="1"/>
  <c r="M457" i="4" l="1"/>
  <c r="N457" i="4" s="1"/>
  <c r="L458" i="4" s="1"/>
  <c r="M458" i="4" l="1"/>
  <c r="N458" i="4" s="1"/>
  <c r="L459" i="4" s="1"/>
  <c r="M459" i="4" l="1"/>
  <c r="N459" i="4" s="1"/>
  <c r="L460" i="4" s="1"/>
  <c r="M460" i="4" l="1"/>
  <c r="N460" i="4" s="1"/>
  <c r="L461" i="4" s="1"/>
  <c r="M461" i="4" l="1"/>
  <c r="N461" i="4" s="1"/>
  <c r="L462" i="4" s="1"/>
  <c r="M462" i="4" l="1"/>
  <c r="N462" i="4" s="1"/>
  <c r="L463" i="4" s="1"/>
  <c r="M463" i="4" l="1"/>
  <c r="N463" i="4" s="1"/>
  <c r="L464" i="4" s="1"/>
  <c r="M464" i="4" l="1"/>
  <c r="N464" i="4" s="1"/>
  <c r="L465" i="4" s="1"/>
  <c r="M465" i="4" l="1"/>
  <c r="N465" i="4" s="1"/>
  <c r="L466" i="4" s="1"/>
  <c r="M466" i="4" l="1"/>
  <c r="N466" i="4" s="1"/>
  <c r="L467" i="4" s="1"/>
  <c r="M467" i="4" l="1"/>
  <c r="N467" i="4" s="1"/>
  <c r="L468" i="4" s="1"/>
  <c r="M468" i="4" l="1"/>
  <c r="N468" i="4" s="1"/>
  <c r="L469" i="4" s="1"/>
  <c r="M469" i="4" l="1"/>
  <c r="N469" i="4" s="1"/>
  <c r="L470" i="4" s="1"/>
  <c r="M470" i="4" l="1"/>
  <c r="N470" i="4" s="1"/>
  <c r="L471" i="4" s="1"/>
  <c r="M471" i="4" l="1"/>
  <c r="N471" i="4" s="1"/>
  <c r="L472" i="4" s="1"/>
  <c r="M472" i="4" l="1"/>
  <c r="N472" i="4" s="1"/>
  <c r="L473" i="4" s="1"/>
  <c r="M473" i="4" l="1"/>
  <c r="N473" i="4" s="1"/>
  <c r="L474" i="4" s="1"/>
  <c r="M474" i="4" l="1"/>
  <c r="N474" i="4" s="1"/>
  <c r="L475" i="4" s="1"/>
  <c r="M475" i="4" l="1"/>
  <c r="N475" i="4" s="1"/>
  <c r="L476" i="4" s="1"/>
  <c r="M476" i="4" l="1"/>
  <c r="N476" i="4" s="1"/>
  <c r="L477" i="4" s="1"/>
  <c r="M477" i="4" l="1"/>
  <c r="N477" i="4" s="1"/>
  <c r="L478" i="4" s="1"/>
  <c r="M478" i="4" l="1"/>
  <c r="N478" i="4" s="1"/>
  <c r="L479" i="4" s="1"/>
  <c r="M479" i="4" l="1"/>
  <c r="N479" i="4" s="1"/>
  <c r="L480" i="4" s="1"/>
  <c r="M480" i="4" l="1"/>
  <c r="N480" i="4" s="1"/>
  <c r="L481" i="4" s="1"/>
  <c r="M481" i="4" l="1"/>
  <c r="N481" i="4" s="1"/>
  <c r="L482" i="4" s="1"/>
  <c r="M482" i="4" l="1"/>
  <c r="N482" i="4" s="1"/>
  <c r="L483" i="4" s="1"/>
  <c r="M483" i="4" l="1"/>
  <c r="N483" i="4" s="1"/>
  <c r="L484" i="4" s="1"/>
  <c r="M484" i="4" l="1"/>
  <c r="N484" i="4" s="1"/>
  <c r="L485" i="4" s="1"/>
  <c r="M485" i="4" l="1"/>
  <c r="N485" i="4" s="1"/>
  <c r="L486" i="4" s="1"/>
  <c r="M486" i="4" l="1"/>
  <c r="N486" i="4" s="1"/>
  <c r="L487" i="4" s="1"/>
  <c r="M487" i="4" l="1"/>
  <c r="N487" i="4" s="1"/>
  <c r="L488" i="4" s="1"/>
  <c r="M488" i="4" l="1"/>
  <c r="N488" i="4" s="1"/>
  <c r="L489" i="4" s="1"/>
  <c r="M489" i="4" l="1"/>
  <c r="N489" i="4" s="1"/>
  <c r="L490" i="4" s="1"/>
  <c r="M490" i="4" l="1"/>
  <c r="N490" i="4" s="1"/>
  <c r="L491" i="4" s="1"/>
  <c r="M491" i="4" l="1"/>
  <c r="N491" i="4" s="1"/>
  <c r="L492" i="4" s="1"/>
  <c r="M492" i="4" l="1"/>
  <c r="N492" i="4" s="1"/>
  <c r="L493" i="4" s="1"/>
  <c r="M493" i="4" l="1"/>
  <c r="N493" i="4" s="1"/>
  <c r="L494" i="4" s="1"/>
  <c r="M494" i="4" l="1"/>
  <c r="N494" i="4" s="1"/>
  <c r="L495" i="4" s="1"/>
  <c r="M495" i="4" l="1"/>
  <c r="N495" i="4" s="1"/>
  <c r="L496" i="4" s="1"/>
  <c r="M496" i="4" l="1"/>
  <c r="N496" i="4" s="1"/>
  <c r="L497" i="4" s="1"/>
  <c r="M497" i="4" l="1"/>
  <c r="N497" i="4" s="1"/>
  <c r="L498" i="4" s="1"/>
  <c r="M498" i="4" l="1"/>
  <c r="N498" i="4" s="1"/>
  <c r="L499" i="4" s="1"/>
  <c r="M499" i="4" l="1"/>
  <c r="N499" i="4" s="1"/>
  <c r="L500" i="4" s="1"/>
  <c r="M500" i="4" l="1"/>
  <c r="N500" i="4" s="1"/>
  <c r="L501" i="4" s="1"/>
  <c r="M501" i="4" l="1"/>
  <c r="N501" i="4" s="1"/>
  <c r="L502" i="4" s="1"/>
  <c r="M502" i="4" l="1"/>
  <c r="N502" i="4" s="1"/>
  <c r="L503" i="4" s="1"/>
  <c r="M503" i="4" l="1"/>
  <c r="N503" i="4" s="1"/>
  <c r="L504" i="4" l="1"/>
  <c r="M504" i="4" s="1"/>
  <c r="N504" i="4" s="1"/>
  <c r="L505" i="4" l="1"/>
  <c r="M505" i="4" s="1"/>
  <c r="N505" i="4"/>
  <c r="L506" i="4" s="1"/>
  <c r="M506" i="4" s="1"/>
  <c r="N506" i="4" s="1"/>
  <c r="L507" i="4" l="1"/>
  <c r="M507" i="4" s="1"/>
  <c r="N507" i="4" s="1"/>
  <c r="L508" i="4" l="1"/>
  <c r="M508" i="4" s="1"/>
  <c r="N508" i="4" s="1"/>
  <c r="L509" i="4" s="1"/>
  <c r="M509" i="4" l="1"/>
  <c r="N509" i="4" s="1"/>
  <c r="L510" i="4" l="1"/>
  <c r="M510" i="4" l="1"/>
  <c r="N510" i="4" s="1"/>
  <c r="L511" i="4" s="1"/>
  <c r="M511" i="4" s="1"/>
  <c r="N511" i="4" s="1"/>
</calcChain>
</file>

<file path=xl/sharedStrings.xml><?xml version="1.0" encoding="utf-8"?>
<sst xmlns="http://schemas.openxmlformats.org/spreadsheetml/2006/main" count="530" uniqueCount="111">
  <si>
    <t>CYCLE_LENGTH =</t>
  </si>
  <si>
    <t>CHECK_POINT =</t>
  </si>
  <si>
    <t>START_POINT =</t>
  </si>
  <si>
    <t>Ответ:</t>
  </si>
  <si>
    <t>07:00:00 = столько секунд</t>
  </si>
  <si>
    <t>14:43:41 = столько секунд</t>
  </si>
  <si>
    <t>Полный цикл светофора: 2 минуты 25 секунд</t>
  </si>
  <si>
    <t>nCycles =</t>
  </si>
  <si>
    <t>TIME_SINCE_START =</t>
  </si>
  <si>
    <t>Прошло времени с 07:00:00 до 14:43:41</t>
  </si>
  <si>
    <t>Прошло полных циклов с 07:00:00</t>
  </si>
  <si>
    <t>Дано:</t>
  </si>
  <si>
    <t>Решение:</t>
  </si>
  <si>
    <t>timeLastCycleRedStart =</t>
  </si>
  <si>
    <t>timeLastCycleGreenStart =</t>
  </si>
  <si>
    <t>timeLastCycleGreenBlink =</t>
  </si>
  <si>
    <t>В 14:41:35 загорелся красный</t>
  </si>
  <si>
    <t>В 14:43:35 загорелся зелёный</t>
  </si>
  <si>
    <t>В 14:43:50 замигает зелёный</t>
  </si>
  <si>
    <t>Подбираем последнее число, которое будет меньше, чем 53021</t>
  </si>
  <si>
    <t>Не дано:</t>
  </si>
  <si>
    <t>В условиях не сказано, есть ли у покупателя деньги на первоначальный взнос.</t>
  </si>
  <si>
    <t>Считаем из условия, что деньги на первоначальный взнос есть,</t>
  </si>
  <si>
    <t>т.к. если их нет, то решение будет зависеть от скорости накопления,</t>
  </si>
  <si>
    <t>Принимаем постнумерандо, потому что в Википедии есть эта формула, а другую искать влом</t>
  </si>
  <si>
    <t>ANNUAL_INTEREST_RATE =</t>
  </si>
  <si>
    <t>Сумма Кредита = Стоимость Дома - Первоначальный Взнос</t>
  </si>
  <si>
    <t>Годовая процентная ставка</t>
  </si>
  <si>
    <t>Количество месяцев = количество платежей</t>
  </si>
  <si>
    <t>Ежемесячная Процентная Ставка считается по формуле:</t>
  </si>
  <si>
    <t>i = корень 12 степени из (100% + Годовая Ставка) минус 1</t>
  </si>
  <si>
    <t>n = NUMBER_OF_TERMS =</t>
  </si>
  <si>
    <t>i = MONTH_INTEREST_RATE =</t>
  </si>
  <si>
    <t>P = MORTGAGE_DEBT =</t>
  </si>
  <si>
    <t>x = ANNUITY_DUE =</t>
  </si>
  <si>
    <t>Проценты</t>
  </si>
  <si>
    <t>Денежный поток</t>
  </si>
  <si>
    <t>Остаток основного долга</t>
  </si>
  <si>
    <t>Дата</t>
  </si>
  <si>
    <t xml:space="preserve">Минимальная Требуемая Зарплата = Платёж * 2 </t>
  </si>
  <si>
    <t>Погашение основного долга</t>
  </si>
  <si>
    <t>FRANCHISE =</t>
  </si>
  <si>
    <t>YEARS =</t>
  </si>
  <si>
    <t>Количество лет</t>
  </si>
  <si>
    <t>PRICE =</t>
  </si>
  <si>
    <t>Цена дома</t>
  </si>
  <si>
    <t>Первоначальный взнос</t>
  </si>
  <si>
    <t>Добби свободен</t>
  </si>
  <si>
    <t>Середина пути</t>
  </si>
  <si>
    <t>A few moments later…</t>
  </si>
  <si>
    <t>а для расчёта периода накоплений нет начальных условий</t>
  </si>
  <si>
    <t>в 14:43:41 будет зелёный для пешеходов</t>
  </si>
  <si>
    <t>В 14:43:41 Александр подъехал к светофору</t>
  </si>
  <si>
    <t>МЕТОД 2 - ПРОСТОЙ И БЫСТРЫЙ, т.е. ИДЕАЛЬНЫЙ</t>
  </si>
  <si>
    <t>Когда банк будет списывать платежи: в начале периода (пренумерандо) или в конце (постнумерандо)</t>
  </si>
  <si>
    <t>Ср</t>
  </si>
  <si>
    <t>Чт</t>
  </si>
  <si>
    <t>Пт</t>
  </si>
  <si>
    <t>Сб</t>
  </si>
  <si>
    <t>Вс</t>
  </si>
  <si>
    <t>Пн</t>
  </si>
  <si>
    <t>Вт</t>
  </si>
  <si>
    <t>МЕТОД 1 - СТРОГО БОТАНИЧЕСКИЙ</t>
  </si>
  <si>
    <t>График отпусков на 2025 год</t>
  </si>
  <si>
    <t>Сотрудник 1</t>
  </si>
  <si>
    <t>Сотрудник 2</t>
  </si>
  <si>
    <t>Сотрудник 3</t>
  </si>
  <si>
    <t>Сотрудник 4</t>
  </si>
  <si>
    <t>Сотрудник 5</t>
  </si>
  <si>
    <t>Сотрудник 6</t>
  </si>
  <si>
    <t>Сотрудник 7</t>
  </si>
  <si>
    <t>Сотрудник 8</t>
  </si>
  <si>
    <t>Сотрудник 9</t>
  </si>
  <si>
    <t>Сотрудник 10</t>
  </si>
  <si>
    <t>Сотрудник 11</t>
  </si>
  <si>
    <t>Сотрудник 12</t>
  </si>
  <si>
    <t>Сотрудник 13</t>
  </si>
  <si>
    <t>Сотрудник 14</t>
  </si>
  <si>
    <t>Начало</t>
  </si>
  <si>
    <t>Длительность</t>
  </si>
  <si>
    <t>План мобилизации персонала на 2025 год</t>
  </si>
  <si>
    <t>ИТОГО</t>
  </si>
  <si>
    <t>1) без самопересечений</t>
  </si>
  <si>
    <t>Даты назначаются рандомно с условиями:</t>
  </si>
  <si>
    <t>2) в январе никто не идёт в отпуск</t>
  </si>
  <si>
    <t>3) без перехода в другой квартал -так проще</t>
  </si>
  <si>
    <t>4) сумма 28 дней</t>
  </si>
  <si>
    <t>5) у всех по 4 отпуска: 14, 5, 5 и 4 дня</t>
  </si>
  <si>
    <t>При выборе дат выходные и праздники не учитываются</t>
  </si>
  <si>
    <t>ДИАГРАММЫ</t>
  </si>
  <si>
    <t>СВЕТОФОР</t>
  </si>
  <si>
    <t>Квартал 1</t>
  </si>
  <si>
    <t>Квартал 2</t>
  </si>
  <si>
    <t>Квартал 3</t>
  </si>
  <si>
    <t>Квартал 4</t>
  </si>
  <si>
    <r>
      <t xml:space="preserve">Построено макросами - см. VBA (Alt+F11) - процедуры </t>
    </r>
    <r>
      <rPr>
        <sz val="11"/>
        <color rgb="FFFF0000"/>
        <rFont val="Calibri"/>
        <family val="2"/>
        <charset val="204"/>
        <scheme val="minor"/>
      </rPr>
      <t>GenerateDates()</t>
    </r>
    <r>
      <rPr>
        <sz val="11"/>
        <rFont val="Calibri"/>
        <family val="2"/>
        <charset val="204"/>
        <scheme val="minor"/>
      </rPr>
      <t xml:space="preserve">, </t>
    </r>
    <r>
      <rPr>
        <sz val="11"/>
        <color rgb="FFFF0000"/>
        <rFont val="Calibri"/>
        <family val="2"/>
        <charset val="204"/>
        <scheme val="minor"/>
      </rPr>
      <t>GenerateDurations()</t>
    </r>
    <r>
      <rPr>
        <sz val="11"/>
        <color theme="1"/>
        <rFont val="Calibri"/>
        <family val="2"/>
        <charset val="204"/>
        <scheme val="minor"/>
      </rPr>
      <t xml:space="preserve"> и </t>
    </r>
    <r>
      <rPr>
        <sz val="11"/>
        <color rgb="FFFF0000"/>
        <rFont val="Calibri"/>
        <family val="2"/>
        <charset val="204"/>
        <scheme val="minor"/>
      </rPr>
      <t>ShowVacations()</t>
    </r>
    <r>
      <rPr>
        <sz val="11"/>
        <color theme="1"/>
        <rFont val="Calibri"/>
        <family val="2"/>
        <charset val="204"/>
        <scheme val="minor"/>
      </rPr>
      <t xml:space="preserve"> в листе "Календарь"</t>
    </r>
  </si>
  <si>
    <r>
      <t xml:space="preserve">Построено макросами - см. VBA (Alt+F11) - процедура </t>
    </r>
    <r>
      <rPr>
        <sz val="11"/>
        <color rgb="FFFF0000"/>
        <rFont val="Calibri"/>
        <family val="2"/>
        <charset val="204"/>
        <scheme val="minor"/>
      </rPr>
      <t>FillCalendar()</t>
    </r>
    <r>
      <rPr>
        <sz val="11"/>
        <color theme="1"/>
        <rFont val="Calibri"/>
        <family val="2"/>
        <charset val="204"/>
        <scheme val="minor"/>
      </rPr>
      <t xml:space="preserve"> в листе "Календарь"</t>
    </r>
  </si>
  <si>
    <t>СМ. НА ОТДЕЛЬНЫХ ВКЛАДКАХ</t>
  </si>
  <si>
    <t>СКРИПТ ДИАГРАММ</t>
  </si>
  <si>
    <t>СМ. В "MODULES"</t>
  </si>
  <si>
    <t>01, 02, 03, 04, 05, 06, 07, 08, 09, 10, 11, 12</t>
  </si>
  <si>
    <t>Метод 1. Расчёт по канонiчной формуле</t>
  </si>
  <si>
    <t>Метод 2. Расчёт по встроенной формуле Excel</t>
  </si>
  <si>
    <t>ИПОТЕКА под 20% - КОРРЕКТНОЕ РЕШЕНИЕ</t>
  </si>
  <si>
    <t>Верный ответ</t>
  </si>
  <si>
    <t>Неверный ответ</t>
  </si>
  <si>
    <t>СТАВКА под (20/12)% в месяц не равна ставке 20% в год</t>
  </si>
  <si>
    <t>ОШИБКА:</t>
  </si>
  <si>
    <t>Верно:</t>
  </si>
  <si>
    <t>Из-за ошибки в условиях некоторые участники переплатили</t>
  </si>
  <si>
    <t>Почему это ошибка? - Потому что расчёт формулы ПЛТ идёт как сложный процент!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</si>
</sst>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[$-F400]h:mm:ss\ AM/PM"/>
    <numFmt numFmtId="165" formatCode="#,##0.00\ &quot;₽&quot;"/>
    <numFmt numFmtId="166" formatCode="0.000000"/>
  </numFmts>
  <fonts count="14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sz val="11"/>
      <color rgb="FF00800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theme="9" tint="-0.249977111117893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0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1" fillId="6" borderId="0" applyNumberFormat="0" applyBorder="0" applyAlignment="0" applyProtection="0"/>
    <xf numFmtId="0" fontId="12" fillId="7" borderId="0" applyNumberFormat="0" applyBorder="0" applyAlignment="0" applyProtection="0"/>
  </cellStyleXfs>
  <cellXfs count="127">
    <xf numFmtId="0" fontId="0" fillId="0" borderId="0" xfId="0"/>
    <xf numFmtId="0" fontId="3" fillId="0" borderId="0" xfId="0" applyFont="1"/>
    <xf numFmtId="164" fontId="1" fillId="0" borderId="0" xfId="0" applyNumberFormat="1" applyFont="1"/>
    <xf numFmtId="0" fontId="1" fillId="0" borderId="0" xfId="0" applyFont="1"/>
    <xf numFmtId="0" fontId="0" fillId="0" borderId="0" xfId="0" applyFill="1"/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164" fontId="1" fillId="0" borderId="4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4" fontId="2" fillId="2" borderId="0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2" fillId="2" borderId="6" xfId="0" applyNumberFormat="1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left" vertical="center"/>
    </xf>
    <xf numFmtId="0" fontId="3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2" fontId="0" fillId="0" borderId="0" xfId="0" applyNumberFormat="1" applyBorder="1"/>
    <xf numFmtId="1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0" fillId="2" borderId="7" xfId="0" applyFill="1" applyBorder="1" applyAlignment="1">
      <alignment horizontal="left" vertical="center"/>
    </xf>
    <xf numFmtId="0" fontId="0" fillId="2" borderId="7" xfId="0" applyFill="1" applyBorder="1"/>
    <xf numFmtId="0" fontId="0" fillId="0" borderId="0" xfId="0" quotePrefix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2" borderId="6" xfId="0" applyFill="1" applyBorder="1" applyAlignment="1">
      <alignment horizontal="left" vertical="center"/>
    </xf>
    <xf numFmtId="0" fontId="0" fillId="2" borderId="8" xfId="0" applyFill="1" applyBorder="1"/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0" fontId="4" fillId="0" borderId="0" xfId="0" applyFont="1" applyFill="1"/>
    <xf numFmtId="0" fontId="0" fillId="0" borderId="1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4" fontId="0" fillId="0" borderId="9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" fontId="5" fillId="0" borderId="0" xfId="0" applyNumberFormat="1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14" fontId="5" fillId="0" borderId="14" xfId="0" applyNumberFormat="1" applyFon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14" fontId="0" fillId="0" borderId="14" xfId="0" applyNumberFormat="1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14" fontId="0" fillId="0" borderId="17" xfId="0" applyNumberFormat="1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14" fontId="0" fillId="0" borderId="12" xfId="0" applyNumberFormat="1" applyFill="1" applyBorder="1" applyAlignment="1">
      <alignment horizontal="center" vertical="center"/>
    </xf>
    <xf numFmtId="0" fontId="5" fillId="0" borderId="0" xfId="0" applyFont="1" applyFill="1"/>
    <xf numFmtId="0" fontId="0" fillId="0" borderId="9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1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0" xfId="0" applyFill="1" applyBorder="1"/>
    <xf numFmtId="0" fontId="5" fillId="4" borderId="13" xfId="0" applyFont="1" applyFill="1" applyBorder="1" applyAlignment="1">
      <alignment horizontal="center" vertical="center"/>
    </xf>
    <xf numFmtId="14" fontId="5" fillId="4" borderId="14" xfId="0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14" fontId="5" fillId="4" borderId="12" xfId="0" applyNumberFormat="1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14" fontId="5" fillId="4" borderId="17" xfId="0" applyNumberFormat="1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8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/>
    </xf>
    <xf numFmtId="0" fontId="8" fillId="5" borderId="0" xfId="0" applyFont="1" applyFill="1"/>
    <xf numFmtId="0" fontId="9" fillId="5" borderId="0" xfId="0" applyFont="1" applyFill="1"/>
    <xf numFmtId="0" fontId="7" fillId="0" borderId="11" xfId="0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165" fontId="0" fillId="0" borderId="0" xfId="0" applyNumberFormat="1"/>
    <xf numFmtId="0" fontId="12" fillId="7" borderId="0" xfId="2"/>
    <xf numFmtId="0" fontId="12" fillId="7" borderId="0" xfId="2" applyAlignment="1">
      <alignment horizontal="right" vertical="center"/>
    </xf>
    <xf numFmtId="165" fontId="12" fillId="7" borderId="0" xfId="2" applyNumberFormat="1"/>
    <xf numFmtId="0" fontId="12" fillId="7" borderId="0" xfId="2" applyAlignment="1">
      <alignment horizontal="center" vertical="center"/>
    </xf>
    <xf numFmtId="0" fontId="11" fillId="6" borderId="0" xfId="1"/>
    <xf numFmtId="44" fontId="11" fillId="6" borderId="0" xfId="1" applyNumberFormat="1"/>
    <xf numFmtId="9" fontId="11" fillId="6" borderId="0" xfId="1" applyNumberFormat="1" applyAlignment="1">
      <alignment horizontal="center" vertical="center"/>
    </xf>
    <xf numFmtId="0" fontId="11" fillId="6" borderId="0" xfId="1" applyAlignment="1">
      <alignment horizontal="center" vertical="center"/>
    </xf>
    <xf numFmtId="165" fontId="11" fillId="6" borderId="0" xfId="1" applyNumberFormat="1" applyAlignment="1">
      <alignment horizontal="center" vertical="center"/>
    </xf>
    <xf numFmtId="43" fontId="11" fillId="6" borderId="0" xfId="1" applyNumberFormat="1" applyAlignment="1">
      <alignment horizontal="center" vertical="center"/>
    </xf>
    <xf numFmtId="165" fontId="11" fillId="6" borderId="0" xfId="1" applyNumberFormat="1"/>
    <xf numFmtId="14" fontId="11" fillId="6" borderId="0" xfId="1" applyNumberFormat="1"/>
    <xf numFmtId="0" fontId="2" fillId="6" borderId="0" xfId="1" applyFont="1"/>
    <xf numFmtId="166" fontId="2" fillId="2" borderId="0" xfId="1" applyNumberFormat="1" applyFont="1" applyFill="1" applyAlignment="1">
      <alignment horizontal="center" vertical="center"/>
    </xf>
    <xf numFmtId="0" fontId="2" fillId="2" borderId="0" xfId="1" applyFont="1" applyFill="1" applyAlignment="1">
      <alignment horizontal="center" vertical="center"/>
    </xf>
    <xf numFmtId="165" fontId="2" fillId="2" borderId="0" xfId="1" applyNumberFormat="1" applyFont="1" applyFill="1"/>
    <xf numFmtId="44" fontId="12" fillId="7" borderId="0" xfId="2" applyNumberFormat="1"/>
    <xf numFmtId="9" fontId="12" fillId="7" borderId="0" xfId="2" applyNumberFormat="1" applyAlignment="1">
      <alignment horizontal="center" vertical="center"/>
    </xf>
    <xf numFmtId="165" fontId="12" fillId="7" borderId="0" xfId="2" applyNumberFormat="1" applyAlignment="1">
      <alignment horizontal="center" vertical="center"/>
    </xf>
    <xf numFmtId="43" fontId="12" fillId="7" borderId="0" xfId="2" applyNumberFormat="1" applyAlignment="1">
      <alignment horizontal="center" vertical="center"/>
    </xf>
    <xf numFmtId="14" fontId="12" fillId="7" borderId="0" xfId="2" applyNumberFormat="1"/>
    <xf numFmtId="0" fontId="2" fillId="2" borderId="0" xfId="1" applyFont="1" applyFill="1"/>
    <xf numFmtId="0" fontId="13" fillId="8" borderId="0" xfId="2" applyFont="1" applyFill="1" applyAlignment="1">
      <alignment horizontal="center" vertical="center"/>
    </xf>
    <xf numFmtId="0" fontId="13" fillId="8" borderId="0" xfId="2" applyFont="1" applyFill="1"/>
    <xf numFmtId="166" fontId="13" fillId="8" borderId="0" xfId="2" applyNumberFormat="1" applyFont="1" applyFill="1" applyAlignment="1">
      <alignment horizontal="center" vertical="center"/>
    </xf>
    <xf numFmtId="165" fontId="13" fillId="8" borderId="0" xfId="2" applyNumberFormat="1" applyFont="1" applyFill="1" applyAlignment="1">
      <alignment horizontal="center" vertical="center"/>
    </xf>
  </cellXfs>
  <cellStyles count="3">
    <cellStyle name="Обычный" xfId="0" builtinId="0"/>
    <cellStyle name="Плохой" xfId="2" builtinId="27"/>
    <cellStyle name="Хороший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5.xml"/><Relationship Id="rId13" Type="http://schemas.openxmlformats.org/officeDocument/2006/relationships/chartsheet" Target="chartsheets/sheet10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openxmlformats.org/officeDocument/2006/relationships/chartsheet" Target="chartsheets/sheet9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hartsheet" Target="chartsheets/sheet8.xml"/><Relationship Id="rId5" Type="http://schemas.openxmlformats.org/officeDocument/2006/relationships/chartsheet" Target="chartsheets/sheet2.xml"/><Relationship Id="rId15" Type="http://schemas.openxmlformats.org/officeDocument/2006/relationships/chartsheet" Target="chartsheets/sheet12.xml"/><Relationship Id="rId10" Type="http://schemas.openxmlformats.org/officeDocument/2006/relationships/chartsheet" Target="chartsheets/sheet7.xml"/><Relationship Id="rId19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chartsheet" Target="chartsheets/sheet6.xml"/><Relationship Id="rId14" Type="http://schemas.openxmlformats.org/officeDocument/2006/relationships/chartsheet" Target="chartsheets/sheet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Январь (нет отпусков)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FFFFF"/>
            </a:solidFill>
            <a:ln w="3175">
              <a:solidFill>
                <a:srgbClr val="C0C0C0"/>
              </a:solidFill>
              <a:prstDash val="solid"/>
            </a:ln>
          </c:spPr>
          <c:invertIfNegative val="0"/>
          <c:cat>
            <c:strRef>
              <c:f>Календарь!$B$6:$B$19</c:f>
              <c:strCache>
                <c:ptCount val="14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  <c:pt idx="8">
                  <c:v>Сотрудник 9</c:v>
                </c:pt>
                <c:pt idx="9">
                  <c:v>Сотрудник 10</c:v>
                </c:pt>
                <c:pt idx="10">
                  <c:v>Сотрудник 11</c:v>
                </c:pt>
                <c:pt idx="11">
                  <c:v>Сотрудник 12</c:v>
                </c:pt>
                <c:pt idx="12">
                  <c:v>Сотрудник 13</c:v>
                </c:pt>
                <c:pt idx="13">
                  <c:v>Сотрудник 14</c:v>
                </c:pt>
              </c:strCache>
            </c:strRef>
          </c:cat>
          <c:val>
            <c:numRef>
              <c:f>Календарь!$C$6:$C$19</c:f>
              <c:numCache>
                <c:formatCode>m/d/yyyy</c:formatCode>
                <c:ptCount val="14"/>
                <c:pt idx="0">
                  <c:v>45721</c:v>
                </c:pt>
                <c:pt idx="1">
                  <c:v>45714</c:v>
                </c:pt>
                <c:pt idx="2">
                  <c:v>45716</c:v>
                </c:pt>
                <c:pt idx="3">
                  <c:v>45703</c:v>
                </c:pt>
                <c:pt idx="4">
                  <c:v>45703</c:v>
                </c:pt>
                <c:pt idx="5">
                  <c:v>45724</c:v>
                </c:pt>
                <c:pt idx="6">
                  <c:v>45690</c:v>
                </c:pt>
                <c:pt idx="7">
                  <c:v>45724</c:v>
                </c:pt>
                <c:pt idx="8">
                  <c:v>45726</c:v>
                </c:pt>
                <c:pt idx="9">
                  <c:v>45721</c:v>
                </c:pt>
                <c:pt idx="10">
                  <c:v>45692</c:v>
                </c:pt>
                <c:pt idx="11">
                  <c:v>45708</c:v>
                </c:pt>
                <c:pt idx="12">
                  <c:v>45728</c:v>
                </c:pt>
                <c:pt idx="13">
                  <c:v>45725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1-49FA-A19B-8A30ADFD8A48}"/>
            </c:ext>
          </c:extLst>
        </c:ser>
        <c:ser>
          <c:idx val="1"/>
          <c:order val="1"/>
          <c:spPr>
            <a:solidFill>
              <a:srgbClr val="EBF2E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Календарь!$B$6:$B$19</c:f>
              <c:strCache>
                <c:ptCount val="14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  <c:pt idx="8">
                  <c:v>Сотрудник 9</c:v>
                </c:pt>
                <c:pt idx="9">
                  <c:v>Сотрудник 10</c:v>
                </c:pt>
                <c:pt idx="10">
                  <c:v>Сотрудник 11</c:v>
                </c:pt>
                <c:pt idx="11">
                  <c:v>Сотрудник 12</c:v>
                </c:pt>
                <c:pt idx="12">
                  <c:v>Сотрудник 13</c:v>
                </c:pt>
                <c:pt idx="13">
                  <c:v>Сотрудник 14</c:v>
                </c:pt>
              </c:strCache>
            </c:strRef>
          </c:cat>
          <c:val>
            <c:numRef>
              <c:f>Календарь!$D$6:$D$19</c:f>
              <c:numCache>
                <c:formatCode>General</c:formatCode>
                <c:ptCount val="14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14</c:v>
                </c:pt>
                <c:pt idx="5">
                  <c:v>5</c:v>
                </c:pt>
                <c:pt idx="6">
                  <c:v>5</c:v>
                </c:pt>
                <c:pt idx="7">
                  <c:v>14</c:v>
                </c:pt>
                <c:pt idx="8">
                  <c:v>14</c:v>
                </c:pt>
                <c:pt idx="9">
                  <c:v>5</c:v>
                </c:pt>
                <c:pt idx="10">
                  <c:v>5</c:v>
                </c:pt>
                <c:pt idx="11">
                  <c:v>14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01-49FA-A19B-8A30ADFD8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7355696"/>
        <c:axId val="487358320"/>
      </c:barChart>
      <c:catAx>
        <c:axId val="4873556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7358320"/>
        <c:crosses val="autoZero"/>
        <c:auto val="1"/>
        <c:lblAlgn val="ctr"/>
        <c:lblOffset val="100"/>
        <c:noMultiLvlLbl val="0"/>
      </c:catAx>
      <c:valAx>
        <c:axId val="487358320"/>
        <c:scaling>
          <c:orientation val="minMax"/>
          <c:max val="45689"/>
          <c:min val="45658"/>
        </c:scaling>
        <c:delete val="0"/>
        <c:axPos val="b"/>
        <c:majorGridlines>
          <c:spPr>
            <a:ln>
              <a:solidFill>
                <a:srgbClr val="E1E1E1"/>
              </a:solidFill>
              <a:prstDash val="solid"/>
            </a:ln>
          </c:spPr>
        </c:majorGridlines>
        <c:minorGridlines>
          <c:spPr>
            <a:ln>
              <a:solidFill>
                <a:srgbClr val="F5F5F5"/>
              </a:solidFill>
              <a:prstDash val="solid"/>
            </a:ln>
          </c:spPr>
        </c:minorGridlines>
        <c:numFmt formatCode="m/d/yyyy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487355696"/>
        <c:crosses val="autoZero"/>
        <c:crossBetween val="between"/>
        <c:majorUnit val="7"/>
        <c:minorUnit val="1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Февраль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FFFFF"/>
            </a:solidFill>
            <a:ln w="3175">
              <a:solidFill>
                <a:srgbClr val="C0C0C0"/>
              </a:solidFill>
              <a:prstDash val="solid"/>
            </a:ln>
          </c:spPr>
          <c:invertIfNegative val="0"/>
          <c:cat>
            <c:strRef>
              <c:f>Календарь!$B$6:$B$19</c:f>
              <c:strCache>
                <c:ptCount val="14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  <c:pt idx="8">
                  <c:v>Сотрудник 9</c:v>
                </c:pt>
                <c:pt idx="9">
                  <c:v>Сотрудник 10</c:v>
                </c:pt>
                <c:pt idx="10">
                  <c:v>Сотрудник 11</c:v>
                </c:pt>
                <c:pt idx="11">
                  <c:v>Сотрудник 12</c:v>
                </c:pt>
                <c:pt idx="12">
                  <c:v>Сотрудник 13</c:v>
                </c:pt>
                <c:pt idx="13">
                  <c:v>Сотрудник 14</c:v>
                </c:pt>
              </c:strCache>
            </c:strRef>
          </c:cat>
          <c:val>
            <c:numRef>
              <c:f>Календарь!$C$6:$C$19</c:f>
              <c:numCache>
                <c:formatCode>m/d/yyyy</c:formatCode>
                <c:ptCount val="14"/>
                <c:pt idx="0">
                  <c:v>45721</c:v>
                </c:pt>
                <c:pt idx="1">
                  <c:v>45714</c:v>
                </c:pt>
                <c:pt idx="2">
                  <c:v>45716</c:v>
                </c:pt>
                <c:pt idx="3">
                  <c:v>45703</c:v>
                </c:pt>
                <c:pt idx="4">
                  <c:v>45703</c:v>
                </c:pt>
                <c:pt idx="5">
                  <c:v>45724</c:v>
                </c:pt>
                <c:pt idx="6">
                  <c:v>45690</c:v>
                </c:pt>
                <c:pt idx="7">
                  <c:v>45724</c:v>
                </c:pt>
                <c:pt idx="8">
                  <c:v>45726</c:v>
                </c:pt>
                <c:pt idx="9">
                  <c:v>45721</c:v>
                </c:pt>
                <c:pt idx="10">
                  <c:v>45692</c:v>
                </c:pt>
                <c:pt idx="11">
                  <c:v>45708</c:v>
                </c:pt>
                <c:pt idx="12">
                  <c:v>45728</c:v>
                </c:pt>
                <c:pt idx="13">
                  <c:v>45725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E-4B80-8C10-686E14305BA1}"/>
            </c:ext>
          </c:extLst>
        </c:ser>
        <c:ser>
          <c:idx val="1"/>
          <c:order val="1"/>
          <c:spPr>
            <a:solidFill>
              <a:srgbClr val="FCE2E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Календарь!$B$6:$B$19</c:f>
              <c:strCache>
                <c:ptCount val="14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  <c:pt idx="8">
                  <c:v>Сотрудник 9</c:v>
                </c:pt>
                <c:pt idx="9">
                  <c:v>Сотрудник 10</c:v>
                </c:pt>
                <c:pt idx="10">
                  <c:v>Сотрудник 11</c:v>
                </c:pt>
                <c:pt idx="11">
                  <c:v>Сотрудник 12</c:v>
                </c:pt>
                <c:pt idx="12">
                  <c:v>Сотрудник 13</c:v>
                </c:pt>
                <c:pt idx="13">
                  <c:v>Сотрудник 14</c:v>
                </c:pt>
              </c:strCache>
            </c:strRef>
          </c:cat>
          <c:val>
            <c:numRef>
              <c:f>Календарь!$D$6:$D$19</c:f>
              <c:numCache>
                <c:formatCode>General</c:formatCode>
                <c:ptCount val="14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14</c:v>
                </c:pt>
                <c:pt idx="5">
                  <c:v>5</c:v>
                </c:pt>
                <c:pt idx="6">
                  <c:v>5</c:v>
                </c:pt>
                <c:pt idx="7">
                  <c:v>14</c:v>
                </c:pt>
                <c:pt idx="8">
                  <c:v>14</c:v>
                </c:pt>
                <c:pt idx="9">
                  <c:v>5</c:v>
                </c:pt>
                <c:pt idx="10">
                  <c:v>5</c:v>
                </c:pt>
                <c:pt idx="11">
                  <c:v>14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7E-4B80-8C10-686E14305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7356680"/>
        <c:axId val="487353400"/>
      </c:barChart>
      <c:catAx>
        <c:axId val="4873566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7353400"/>
        <c:crosses val="autoZero"/>
        <c:auto val="1"/>
        <c:lblAlgn val="ctr"/>
        <c:lblOffset val="100"/>
        <c:noMultiLvlLbl val="0"/>
      </c:catAx>
      <c:valAx>
        <c:axId val="487353400"/>
        <c:scaling>
          <c:orientation val="minMax"/>
          <c:max val="45717"/>
          <c:min val="45689"/>
        </c:scaling>
        <c:delete val="0"/>
        <c:axPos val="b"/>
        <c:majorGridlines>
          <c:spPr>
            <a:ln>
              <a:solidFill>
                <a:srgbClr val="E1E1E1"/>
              </a:solidFill>
              <a:prstDash val="solid"/>
            </a:ln>
          </c:spPr>
        </c:majorGridlines>
        <c:minorGridlines>
          <c:spPr>
            <a:ln>
              <a:solidFill>
                <a:srgbClr val="F5F5F5"/>
              </a:solidFill>
              <a:prstDash val="solid"/>
            </a:ln>
          </c:spPr>
        </c:minorGridlines>
        <c:numFmt formatCode="m/d/yyyy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487356680"/>
        <c:crosses val="autoZero"/>
        <c:crossBetween val="between"/>
        <c:majorUnit val="7"/>
        <c:minorUnit val="1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Март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FFFFF"/>
            </a:solidFill>
            <a:ln w="3175">
              <a:solidFill>
                <a:srgbClr val="C0C0C0"/>
              </a:solidFill>
              <a:prstDash val="solid"/>
            </a:ln>
          </c:spPr>
          <c:invertIfNegative val="0"/>
          <c:cat>
            <c:strRef>
              <c:f>Календарь!$B$6:$B$19</c:f>
              <c:strCache>
                <c:ptCount val="14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  <c:pt idx="8">
                  <c:v>Сотрудник 9</c:v>
                </c:pt>
                <c:pt idx="9">
                  <c:v>Сотрудник 10</c:v>
                </c:pt>
                <c:pt idx="10">
                  <c:v>Сотрудник 11</c:v>
                </c:pt>
                <c:pt idx="11">
                  <c:v>Сотрудник 12</c:v>
                </c:pt>
                <c:pt idx="12">
                  <c:v>Сотрудник 13</c:v>
                </c:pt>
                <c:pt idx="13">
                  <c:v>Сотрудник 14</c:v>
                </c:pt>
              </c:strCache>
            </c:strRef>
          </c:cat>
          <c:val>
            <c:numRef>
              <c:f>Календарь!$C$6:$C$19</c:f>
              <c:numCache>
                <c:formatCode>m/d/yyyy</c:formatCode>
                <c:ptCount val="14"/>
                <c:pt idx="0">
                  <c:v>45721</c:v>
                </c:pt>
                <c:pt idx="1">
                  <c:v>45714</c:v>
                </c:pt>
                <c:pt idx="2">
                  <c:v>45716</c:v>
                </c:pt>
                <c:pt idx="3">
                  <c:v>45703</c:v>
                </c:pt>
                <c:pt idx="4">
                  <c:v>45703</c:v>
                </c:pt>
                <c:pt idx="5">
                  <c:v>45724</c:v>
                </c:pt>
                <c:pt idx="6">
                  <c:v>45690</c:v>
                </c:pt>
                <c:pt idx="7">
                  <c:v>45724</c:v>
                </c:pt>
                <c:pt idx="8">
                  <c:v>45726</c:v>
                </c:pt>
                <c:pt idx="9">
                  <c:v>45721</c:v>
                </c:pt>
                <c:pt idx="10">
                  <c:v>45692</c:v>
                </c:pt>
                <c:pt idx="11">
                  <c:v>45708</c:v>
                </c:pt>
                <c:pt idx="12">
                  <c:v>45728</c:v>
                </c:pt>
                <c:pt idx="13">
                  <c:v>45725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A-4E3F-A72C-5BD91EEE5348}"/>
            </c:ext>
          </c:extLst>
        </c:ser>
        <c:ser>
          <c:idx val="1"/>
          <c:order val="1"/>
          <c:spPr>
            <a:solidFill>
              <a:srgbClr val="F4FB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Календарь!$B$6:$B$19</c:f>
              <c:strCache>
                <c:ptCount val="14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  <c:pt idx="8">
                  <c:v>Сотрудник 9</c:v>
                </c:pt>
                <c:pt idx="9">
                  <c:v>Сотрудник 10</c:v>
                </c:pt>
                <c:pt idx="10">
                  <c:v>Сотрудник 11</c:v>
                </c:pt>
                <c:pt idx="11">
                  <c:v>Сотрудник 12</c:v>
                </c:pt>
                <c:pt idx="12">
                  <c:v>Сотрудник 13</c:v>
                </c:pt>
                <c:pt idx="13">
                  <c:v>Сотрудник 14</c:v>
                </c:pt>
              </c:strCache>
            </c:strRef>
          </c:cat>
          <c:val>
            <c:numRef>
              <c:f>Календарь!$D$6:$D$19</c:f>
              <c:numCache>
                <c:formatCode>General</c:formatCode>
                <c:ptCount val="14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14</c:v>
                </c:pt>
                <c:pt idx="5">
                  <c:v>5</c:v>
                </c:pt>
                <c:pt idx="6">
                  <c:v>5</c:v>
                </c:pt>
                <c:pt idx="7">
                  <c:v>14</c:v>
                </c:pt>
                <c:pt idx="8">
                  <c:v>14</c:v>
                </c:pt>
                <c:pt idx="9">
                  <c:v>5</c:v>
                </c:pt>
                <c:pt idx="10">
                  <c:v>5</c:v>
                </c:pt>
                <c:pt idx="11">
                  <c:v>14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4A-4E3F-A72C-5BD91EEE5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7364224"/>
        <c:axId val="487368816"/>
      </c:barChart>
      <c:catAx>
        <c:axId val="4873642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7368816"/>
        <c:crosses val="autoZero"/>
        <c:auto val="1"/>
        <c:lblAlgn val="ctr"/>
        <c:lblOffset val="100"/>
        <c:noMultiLvlLbl val="0"/>
      </c:catAx>
      <c:valAx>
        <c:axId val="487368816"/>
        <c:scaling>
          <c:orientation val="minMax"/>
          <c:max val="45748"/>
          <c:min val="45717"/>
        </c:scaling>
        <c:delete val="0"/>
        <c:axPos val="b"/>
        <c:majorGridlines>
          <c:spPr>
            <a:ln>
              <a:solidFill>
                <a:srgbClr val="E1E1E1"/>
              </a:solidFill>
              <a:prstDash val="solid"/>
            </a:ln>
          </c:spPr>
        </c:majorGridlines>
        <c:minorGridlines>
          <c:spPr>
            <a:ln>
              <a:solidFill>
                <a:srgbClr val="F5F5F5"/>
              </a:solidFill>
              <a:prstDash val="solid"/>
            </a:ln>
          </c:spPr>
        </c:minorGridlines>
        <c:numFmt formatCode="m/d/yyyy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487364224"/>
        <c:crosses val="autoZero"/>
        <c:crossBetween val="between"/>
        <c:majorUnit val="7"/>
        <c:minorUnit val="1"/>
      </c:valAx>
    </c:plotArea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Апрель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FFFFF"/>
            </a:solidFill>
            <a:ln w="3175">
              <a:solidFill>
                <a:srgbClr val="C0C0C0"/>
              </a:solidFill>
              <a:prstDash val="solid"/>
            </a:ln>
          </c:spPr>
          <c:invertIfNegative val="0"/>
          <c:cat>
            <c:strRef>
              <c:f>Календарь!$B$6:$B$19</c:f>
              <c:strCache>
                <c:ptCount val="14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  <c:pt idx="8">
                  <c:v>Сотрудник 9</c:v>
                </c:pt>
                <c:pt idx="9">
                  <c:v>Сотрудник 10</c:v>
                </c:pt>
                <c:pt idx="10">
                  <c:v>Сотрудник 11</c:v>
                </c:pt>
                <c:pt idx="11">
                  <c:v>Сотрудник 12</c:v>
                </c:pt>
                <c:pt idx="12">
                  <c:v>Сотрудник 13</c:v>
                </c:pt>
                <c:pt idx="13">
                  <c:v>Сотрудник 14</c:v>
                </c:pt>
              </c:strCache>
            </c:strRef>
          </c:cat>
          <c:val>
            <c:numRef>
              <c:f>Календарь!$E$6:$E$19</c:f>
              <c:numCache>
                <c:formatCode>m/d/yyyy</c:formatCode>
                <c:ptCount val="14"/>
                <c:pt idx="0">
                  <c:v>45777</c:v>
                </c:pt>
                <c:pt idx="1">
                  <c:v>45823</c:v>
                </c:pt>
                <c:pt idx="2">
                  <c:v>45816</c:v>
                </c:pt>
                <c:pt idx="3">
                  <c:v>45753</c:v>
                </c:pt>
                <c:pt idx="4">
                  <c:v>45822</c:v>
                </c:pt>
                <c:pt idx="5">
                  <c:v>45777</c:v>
                </c:pt>
                <c:pt idx="6">
                  <c:v>45789</c:v>
                </c:pt>
                <c:pt idx="7">
                  <c:v>45808</c:v>
                </c:pt>
                <c:pt idx="8">
                  <c:v>45753</c:v>
                </c:pt>
                <c:pt idx="9">
                  <c:v>45794</c:v>
                </c:pt>
                <c:pt idx="10">
                  <c:v>45785</c:v>
                </c:pt>
                <c:pt idx="11">
                  <c:v>45771</c:v>
                </c:pt>
                <c:pt idx="12">
                  <c:v>45796</c:v>
                </c:pt>
                <c:pt idx="13">
                  <c:v>45798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36-48AF-8050-F86BFB5AE5B4}"/>
            </c:ext>
          </c:extLst>
        </c:ser>
        <c:ser>
          <c:idx val="1"/>
          <c:order val="1"/>
          <c:spPr>
            <a:solidFill>
              <a:srgbClr val="F8E0FB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Календарь!$B$6:$B$19</c:f>
              <c:strCache>
                <c:ptCount val="14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  <c:pt idx="8">
                  <c:v>Сотрудник 9</c:v>
                </c:pt>
                <c:pt idx="9">
                  <c:v>Сотрудник 10</c:v>
                </c:pt>
                <c:pt idx="10">
                  <c:v>Сотрудник 11</c:v>
                </c:pt>
                <c:pt idx="11">
                  <c:v>Сотрудник 12</c:v>
                </c:pt>
                <c:pt idx="12">
                  <c:v>Сотрудник 13</c:v>
                </c:pt>
                <c:pt idx="13">
                  <c:v>Сотрудник 14</c:v>
                </c:pt>
              </c:strCache>
            </c:strRef>
          </c:cat>
          <c:val>
            <c:numRef>
              <c:f>Календарь!$F$6:$F$19</c:f>
              <c:numCache>
                <c:formatCode>General</c:formatCode>
                <c:ptCount val="14"/>
                <c:pt idx="0">
                  <c:v>14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14</c:v>
                </c:pt>
                <c:pt idx="10">
                  <c:v>14</c:v>
                </c:pt>
                <c:pt idx="11">
                  <c:v>5</c:v>
                </c:pt>
                <c:pt idx="12">
                  <c:v>14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36-48AF-8050-F86BFB5AE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7379640"/>
        <c:axId val="487382592"/>
      </c:barChart>
      <c:catAx>
        <c:axId val="4873796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7382592"/>
        <c:crosses val="autoZero"/>
        <c:auto val="1"/>
        <c:lblAlgn val="ctr"/>
        <c:lblOffset val="100"/>
        <c:noMultiLvlLbl val="0"/>
      </c:catAx>
      <c:valAx>
        <c:axId val="487382592"/>
        <c:scaling>
          <c:orientation val="minMax"/>
          <c:max val="45778"/>
          <c:min val="45748"/>
        </c:scaling>
        <c:delete val="0"/>
        <c:axPos val="b"/>
        <c:majorGridlines>
          <c:spPr>
            <a:ln>
              <a:solidFill>
                <a:srgbClr val="E1E1E1"/>
              </a:solidFill>
              <a:prstDash val="solid"/>
            </a:ln>
          </c:spPr>
        </c:majorGridlines>
        <c:minorGridlines>
          <c:spPr>
            <a:ln>
              <a:solidFill>
                <a:srgbClr val="F5F5F5"/>
              </a:solidFill>
              <a:prstDash val="solid"/>
            </a:ln>
          </c:spPr>
        </c:minorGridlines>
        <c:numFmt formatCode="m/d/yyyy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487379640"/>
        <c:crosses val="autoZero"/>
        <c:crossBetween val="between"/>
        <c:majorUnit val="7"/>
        <c:minorUnit val="1"/>
      </c:valAx>
    </c:plotArea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Май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FFFFF"/>
            </a:solidFill>
            <a:ln w="3175">
              <a:solidFill>
                <a:srgbClr val="C0C0C0"/>
              </a:solidFill>
              <a:prstDash val="solid"/>
            </a:ln>
          </c:spPr>
          <c:invertIfNegative val="0"/>
          <c:cat>
            <c:strRef>
              <c:f>Календарь!$B$6:$B$19</c:f>
              <c:strCache>
                <c:ptCount val="14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  <c:pt idx="8">
                  <c:v>Сотрудник 9</c:v>
                </c:pt>
                <c:pt idx="9">
                  <c:v>Сотрудник 10</c:v>
                </c:pt>
                <c:pt idx="10">
                  <c:v>Сотрудник 11</c:v>
                </c:pt>
                <c:pt idx="11">
                  <c:v>Сотрудник 12</c:v>
                </c:pt>
                <c:pt idx="12">
                  <c:v>Сотрудник 13</c:v>
                </c:pt>
                <c:pt idx="13">
                  <c:v>Сотрудник 14</c:v>
                </c:pt>
              </c:strCache>
            </c:strRef>
          </c:cat>
          <c:val>
            <c:numRef>
              <c:f>Календарь!$E$6:$E$19</c:f>
              <c:numCache>
                <c:formatCode>m/d/yyyy</c:formatCode>
                <c:ptCount val="14"/>
                <c:pt idx="0">
                  <c:v>45777</c:v>
                </c:pt>
                <c:pt idx="1">
                  <c:v>45823</c:v>
                </c:pt>
                <c:pt idx="2">
                  <c:v>45816</c:v>
                </c:pt>
                <c:pt idx="3">
                  <c:v>45753</c:v>
                </c:pt>
                <c:pt idx="4">
                  <c:v>45822</c:v>
                </c:pt>
                <c:pt idx="5">
                  <c:v>45777</c:v>
                </c:pt>
                <c:pt idx="6">
                  <c:v>45789</c:v>
                </c:pt>
                <c:pt idx="7">
                  <c:v>45808</c:v>
                </c:pt>
                <c:pt idx="8">
                  <c:v>45753</c:v>
                </c:pt>
                <c:pt idx="9">
                  <c:v>45794</c:v>
                </c:pt>
                <c:pt idx="10">
                  <c:v>45785</c:v>
                </c:pt>
                <c:pt idx="11">
                  <c:v>45771</c:v>
                </c:pt>
                <c:pt idx="12">
                  <c:v>45796</c:v>
                </c:pt>
                <c:pt idx="13">
                  <c:v>45798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7E-4465-A6BD-535B01CCD1DF}"/>
            </c:ext>
          </c:extLst>
        </c:ser>
        <c:ser>
          <c:idx val="1"/>
          <c:order val="1"/>
          <c:spPr>
            <a:solidFill>
              <a:srgbClr val="FFF4E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Календарь!$B$6:$B$19</c:f>
              <c:strCache>
                <c:ptCount val="14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  <c:pt idx="8">
                  <c:v>Сотрудник 9</c:v>
                </c:pt>
                <c:pt idx="9">
                  <c:v>Сотрудник 10</c:v>
                </c:pt>
                <c:pt idx="10">
                  <c:v>Сотрудник 11</c:v>
                </c:pt>
                <c:pt idx="11">
                  <c:v>Сотрудник 12</c:v>
                </c:pt>
                <c:pt idx="12">
                  <c:v>Сотрудник 13</c:v>
                </c:pt>
                <c:pt idx="13">
                  <c:v>Сотрудник 14</c:v>
                </c:pt>
              </c:strCache>
            </c:strRef>
          </c:cat>
          <c:val>
            <c:numRef>
              <c:f>Календарь!$F$6:$F$19</c:f>
              <c:numCache>
                <c:formatCode>General</c:formatCode>
                <c:ptCount val="14"/>
                <c:pt idx="0">
                  <c:v>14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14</c:v>
                </c:pt>
                <c:pt idx="10">
                  <c:v>14</c:v>
                </c:pt>
                <c:pt idx="11">
                  <c:v>5</c:v>
                </c:pt>
                <c:pt idx="12">
                  <c:v>14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7E-4465-A6BD-535B01CCD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7375376"/>
        <c:axId val="487375704"/>
      </c:barChart>
      <c:catAx>
        <c:axId val="4873753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7375704"/>
        <c:crosses val="autoZero"/>
        <c:auto val="1"/>
        <c:lblAlgn val="ctr"/>
        <c:lblOffset val="100"/>
        <c:noMultiLvlLbl val="0"/>
      </c:catAx>
      <c:valAx>
        <c:axId val="487375704"/>
        <c:scaling>
          <c:orientation val="minMax"/>
          <c:max val="45809"/>
          <c:min val="45778"/>
        </c:scaling>
        <c:delete val="0"/>
        <c:axPos val="b"/>
        <c:majorGridlines>
          <c:spPr>
            <a:ln>
              <a:solidFill>
                <a:srgbClr val="E1E1E1"/>
              </a:solidFill>
              <a:prstDash val="solid"/>
            </a:ln>
          </c:spPr>
        </c:majorGridlines>
        <c:minorGridlines>
          <c:spPr>
            <a:ln>
              <a:solidFill>
                <a:srgbClr val="F5F5F5"/>
              </a:solidFill>
              <a:prstDash val="solid"/>
            </a:ln>
          </c:spPr>
        </c:minorGridlines>
        <c:numFmt formatCode="m/d/yyyy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487375376"/>
        <c:crosses val="autoZero"/>
        <c:crossBetween val="between"/>
        <c:majorUnit val="7"/>
        <c:minorUnit val="1"/>
      </c:valAx>
    </c:plotArea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Июнь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FFFFF"/>
            </a:solidFill>
            <a:ln w="3175">
              <a:solidFill>
                <a:srgbClr val="C0C0C0"/>
              </a:solidFill>
              <a:prstDash val="solid"/>
            </a:ln>
          </c:spPr>
          <c:invertIfNegative val="0"/>
          <c:cat>
            <c:strRef>
              <c:f>Календарь!$B$6:$B$19</c:f>
              <c:strCache>
                <c:ptCount val="14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  <c:pt idx="8">
                  <c:v>Сотрудник 9</c:v>
                </c:pt>
                <c:pt idx="9">
                  <c:v>Сотрудник 10</c:v>
                </c:pt>
                <c:pt idx="10">
                  <c:v>Сотрудник 11</c:v>
                </c:pt>
                <c:pt idx="11">
                  <c:v>Сотрудник 12</c:v>
                </c:pt>
                <c:pt idx="12">
                  <c:v>Сотрудник 13</c:v>
                </c:pt>
                <c:pt idx="13">
                  <c:v>Сотрудник 14</c:v>
                </c:pt>
              </c:strCache>
            </c:strRef>
          </c:cat>
          <c:val>
            <c:numRef>
              <c:f>Календарь!$E$6:$E$19</c:f>
              <c:numCache>
                <c:formatCode>m/d/yyyy</c:formatCode>
                <c:ptCount val="14"/>
                <c:pt idx="0">
                  <c:v>45777</c:v>
                </c:pt>
                <c:pt idx="1">
                  <c:v>45823</c:v>
                </c:pt>
                <c:pt idx="2">
                  <c:v>45816</c:v>
                </c:pt>
                <c:pt idx="3">
                  <c:v>45753</c:v>
                </c:pt>
                <c:pt idx="4">
                  <c:v>45822</c:v>
                </c:pt>
                <c:pt idx="5">
                  <c:v>45777</c:v>
                </c:pt>
                <c:pt idx="6">
                  <c:v>45789</c:v>
                </c:pt>
                <c:pt idx="7">
                  <c:v>45808</c:v>
                </c:pt>
                <c:pt idx="8">
                  <c:v>45753</c:v>
                </c:pt>
                <c:pt idx="9">
                  <c:v>45794</c:v>
                </c:pt>
                <c:pt idx="10">
                  <c:v>45785</c:v>
                </c:pt>
                <c:pt idx="11">
                  <c:v>45771</c:v>
                </c:pt>
                <c:pt idx="12">
                  <c:v>45796</c:v>
                </c:pt>
                <c:pt idx="13">
                  <c:v>45798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13-4E7E-A34B-6F2AD384BC2D}"/>
            </c:ext>
          </c:extLst>
        </c:ser>
        <c:ser>
          <c:idx val="1"/>
          <c:order val="1"/>
          <c:spPr>
            <a:solidFill>
              <a:srgbClr val="E2EEF2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Календарь!$B$6:$B$19</c:f>
              <c:strCache>
                <c:ptCount val="14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  <c:pt idx="8">
                  <c:v>Сотрудник 9</c:v>
                </c:pt>
                <c:pt idx="9">
                  <c:v>Сотрудник 10</c:v>
                </c:pt>
                <c:pt idx="10">
                  <c:v>Сотрудник 11</c:v>
                </c:pt>
                <c:pt idx="11">
                  <c:v>Сотрудник 12</c:v>
                </c:pt>
                <c:pt idx="12">
                  <c:v>Сотрудник 13</c:v>
                </c:pt>
                <c:pt idx="13">
                  <c:v>Сотрудник 14</c:v>
                </c:pt>
              </c:strCache>
            </c:strRef>
          </c:cat>
          <c:val>
            <c:numRef>
              <c:f>Календарь!$F$6:$F$19</c:f>
              <c:numCache>
                <c:formatCode>General</c:formatCode>
                <c:ptCount val="14"/>
                <c:pt idx="0">
                  <c:v>14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14</c:v>
                </c:pt>
                <c:pt idx="10">
                  <c:v>14</c:v>
                </c:pt>
                <c:pt idx="11">
                  <c:v>5</c:v>
                </c:pt>
                <c:pt idx="12">
                  <c:v>14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13-4E7E-A34B-6F2AD384B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7393088"/>
        <c:axId val="487384888"/>
      </c:barChart>
      <c:catAx>
        <c:axId val="487393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7384888"/>
        <c:crosses val="autoZero"/>
        <c:auto val="1"/>
        <c:lblAlgn val="ctr"/>
        <c:lblOffset val="100"/>
        <c:noMultiLvlLbl val="0"/>
      </c:catAx>
      <c:valAx>
        <c:axId val="487384888"/>
        <c:scaling>
          <c:orientation val="minMax"/>
          <c:max val="45839"/>
          <c:min val="45809"/>
        </c:scaling>
        <c:delete val="0"/>
        <c:axPos val="b"/>
        <c:majorGridlines>
          <c:spPr>
            <a:ln>
              <a:solidFill>
                <a:srgbClr val="E1E1E1"/>
              </a:solidFill>
              <a:prstDash val="solid"/>
            </a:ln>
          </c:spPr>
        </c:majorGridlines>
        <c:minorGridlines>
          <c:spPr>
            <a:ln>
              <a:solidFill>
                <a:srgbClr val="F5F5F5"/>
              </a:solidFill>
              <a:prstDash val="solid"/>
            </a:ln>
          </c:spPr>
        </c:minorGridlines>
        <c:numFmt formatCode="m/d/yyyy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487393088"/>
        <c:crosses val="autoZero"/>
        <c:crossBetween val="between"/>
        <c:majorUnit val="7"/>
        <c:minorUnit val="1"/>
      </c:valAx>
    </c:plotArea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Июль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FFFFF"/>
            </a:solidFill>
            <a:ln w="3175">
              <a:solidFill>
                <a:srgbClr val="C0C0C0"/>
              </a:solidFill>
              <a:prstDash val="solid"/>
            </a:ln>
          </c:spPr>
          <c:invertIfNegative val="0"/>
          <c:cat>
            <c:strRef>
              <c:f>Календарь!$B$6:$B$19</c:f>
              <c:strCache>
                <c:ptCount val="14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  <c:pt idx="8">
                  <c:v>Сотрудник 9</c:v>
                </c:pt>
                <c:pt idx="9">
                  <c:v>Сотрудник 10</c:v>
                </c:pt>
                <c:pt idx="10">
                  <c:v>Сотрудник 11</c:v>
                </c:pt>
                <c:pt idx="11">
                  <c:v>Сотрудник 12</c:v>
                </c:pt>
                <c:pt idx="12">
                  <c:v>Сотрудник 13</c:v>
                </c:pt>
                <c:pt idx="13">
                  <c:v>Сотрудник 14</c:v>
                </c:pt>
              </c:strCache>
            </c:strRef>
          </c:cat>
          <c:val>
            <c:numRef>
              <c:f>Календарь!$G$6:$G$19</c:f>
              <c:numCache>
                <c:formatCode>m/d/yyyy</c:formatCode>
                <c:ptCount val="14"/>
                <c:pt idx="0">
                  <c:v>45860</c:v>
                </c:pt>
                <c:pt idx="1">
                  <c:v>45861</c:v>
                </c:pt>
                <c:pt idx="2">
                  <c:v>45904</c:v>
                </c:pt>
                <c:pt idx="3">
                  <c:v>45904</c:v>
                </c:pt>
                <c:pt idx="4">
                  <c:v>45885</c:v>
                </c:pt>
                <c:pt idx="5">
                  <c:v>45916</c:v>
                </c:pt>
                <c:pt idx="6">
                  <c:v>45911</c:v>
                </c:pt>
                <c:pt idx="7">
                  <c:v>45857</c:v>
                </c:pt>
                <c:pt idx="8">
                  <c:v>45894</c:v>
                </c:pt>
                <c:pt idx="9">
                  <c:v>45916</c:v>
                </c:pt>
                <c:pt idx="10">
                  <c:v>45859</c:v>
                </c:pt>
                <c:pt idx="11">
                  <c:v>45881</c:v>
                </c:pt>
                <c:pt idx="12">
                  <c:v>45848</c:v>
                </c:pt>
                <c:pt idx="13">
                  <c:v>45917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7-4310-AF4B-D9D047FEA70D}"/>
            </c:ext>
          </c:extLst>
        </c:ser>
        <c:ser>
          <c:idx val="1"/>
          <c:order val="1"/>
          <c:spPr>
            <a:solidFill>
              <a:srgbClr val="E4E5EA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Календарь!$B$6:$B$19</c:f>
              <c:strCache>
                <c:ptCount val="14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  <c:pt idx="8">
                  <c:v>Сотрудник 9</c:v>
                </c:pt>
                <c:pt idx="9">
                  <c:v>Сотрудник 10</c:v>
                </c:pt>
                <c:pt idx="10">
                  <c:v>Сотрудник 11</c:v>
                </c:pt>
                <c:pt idx="11">
                  <c:v>Сотрудник 12</c:v>
                </c:pt>
                <c:pt idx="12">
                  <c:v>Сотрудник 13</c:v>
                </c:pt>
                <c:pt idx="13">
                  <c:v>Сотрудник 14</c:v>
                </c:pt>
              </c:strCache>
            </c:strRef>
          </c:cat>
          <c:val>
            <c:numRef>
              <c:f>Календарь!$H$6:$H$19</c:f>
              <c:numCache>
                <c:formatCode>General</c:formatCode>
                <c:ptCount val="14"/>
                <c:pt idx="0">
                  <c:v>5</c:v>
                </c:pt>
                <c:pt idx="1">
                  <c:v>5</c:v>
                </c:pt>
                <c:pt idx="2">
                  <c:v>14</c:v>
                </c:pt>
                <c:pt idx="3">
                  <c:v>14</c:v>
                </c:pt>
                <c:pt idx="4">
                  <c:v>5</c:v>
                </c:pt>
                <c:pt idx="5">
                  <c:v>14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4</c:v>
                </c:pt>
                <c:pt idx="10">
                  <c:v>5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F7-4310-AF4B-D9D047FEA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7387840"/>
        <c:axId val="487390792"/>
      </c:barChart>
      <c:catAx>
        <c:axId val="4873878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7390792"/>
        <c:crosses val="autoZero"/>
        <c:auto val="1"/>
        <c:lblAlgn val="ctr"/>
        <c:lblOffset val="100"/>
        <c:noMultiLvlLbl val="0"/>
      </c:catAx>
      <c:valAx>
        <c:axId val="487390792"/>
        <c:scaling>
          <c:orientation val="minMax"/>
          <c:max val="45870"/>
          <c:min val="45839"/>
        </c:scaling>
        <c:delete val="0"/>
        <c:axPos val="b"/>
        <c:majorGridlines>
          <c:spPr>
            <a:ln>
              <a:solidFill>
                <a:srgbClr val="E1E1E1"/>
              </a:solidFill>
              <a:prstDash val="solid"/>
            </a:ln>
          </c:spPr>
        </c:majorGridlines>
        <c:minorGridlines>
          <c:spPr>
            <a:ln>
              <a:solidFill>
                <a:srgbClr val="F5F5F5"/>
              </a:solidFill>
              <a:prstDash val="solid"/>
            </a:ln>
          </c:spPr>
        </c:minorGridlines>
        <c:numFmt formatCode="m/d/yyyy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487387840"/>
        <c:crosses val="autoZero"/>
        <c:crossBetween val="between"/>
        <c:majorUnit val="7"/>
        <c:minorUnit val="1"/>
      </c:valAx>
    </c:plotArea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Август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FFFFF"/>
            </a:solidFill>
            <a:ln w="3175">
              <a:solidFill>
                <a:srgbClr val="C0C0C0"/>
              </a:solidFill>
              <a:prstDash val="solid"/>
            </a:ln>
          </c:spPr>
          <c:invertIfNegative val="0"/>
          <c:cat>
            <c:strRef>
              <c:f>Календарь!$B$6:$B$19</c:f>
              <c:strCache>
                <c:ptCount val="14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  <c:pt idx="8">
                  <c:v>Сотрудник 9</c:v>
                </c:pt>
                <c:pt idx="9">
                  <c:v>Сотрудник 10</c:v>
                </c:pt>
                <c:pt idx="10">
                  <c:v>Сотрудник 11</c:v>
                </c:pt>
                <c:pt idx="11">
                  <c:v>Сотрудник 12</c:v>
                </c:pt>
                <c:pt idx="12">
                  <c:v>Сотрудник 13</c:v>
                </c:pt>
                <c:pt idx="13">
                  <c:v>Сотрудник 14</c:v>
                </c:pt>
              </c:strCache>
            </c:strRef>
          </c:cat>
          <c:val>
            <c:numRef>
              <c:f>Календарь!$G$6:$G$19</c:f>
              <c:numCache>
                <c:formatCode>m/d/yyyy</c:formatCode>
                <c:ptCount val="14"/>
                <c:pt idx="0">
                  <c:v>45860</c:v>
                </c:pt>
                <c:pt idx="1">
                  <c:v>45861</c:v>
                </c:pt>
                <c:pt idx="2">
                  <c:v>45904</c:v>
                </c:pt>
                <c:pt idx="3">
                  <c:v>45904</c:v>
                </c:pt>
                <c:pt idx="4">
                  <c:v>45885</c:v>
                </c:pt>
                <c:pt idx="5">
                  <c:v>45916</c:v>
                </c:pt>
                <c:pt idx="6">
                  <c:v>45911</c:v>
                </c:pt>
                <c:pt idx="7">
                  <c:v>45857</c:v>
                </c:pt>
                <c:pt idx="8">
                  <c:v>45894</c:v>
                </c:pt>
                <c:pt idx="9">
                  <c:v>45916</c:v>
                </c:pt>
                <c:pt idx="10">
                  <c:v>45859</c:v>
                </c:pt>
                <c:pt idx="11">
                  <c:v>45881</c:v>
                </c:pt>
                <c:pt idx="12">
                  <c:v>45848</c:v>
                </c:pt>
                <c:pt idx="13">
                  <c:v>45917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B7-4B8D-8B4A-EA6400CBBFF4}"/>
            </c:ext>
          </c:extLst>
        </c:ser>
        <c:ser>
          <c:idx val="1"/>
          <c:order val="1"/>
          <c:spPr>
            <a:solidFill>
              <a:srgbClr val="E8E0F5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Календарь!$B$6:$B$19</c:f>
              <c:strCache>
                <c:ptCount val="14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  <c:pt idx="8">
                  <c:v>Сотрудник 9</c:v>
                </c:pt>
                <c:pt idx="9">
                  <c:v>Сотрудник 10</c:v>
                </c:pt>
                <c:pt idx="10">
                  <c:v>Сотрудник 11</c:v>
                </c:pt>
                <c:pt idx="11">
                  <c:v>Сотрудник 12</c:v>
                </c:pt>
                <c:pt idx="12">
                  <c:v>Сотрудник 13</c:v>
                </c:pt>
                <c:pt idx="13">
                  <c:v>Сотрудник 14</c:v>
                </c:pt>
              </c:strCache>
            </c:strRef>
          </c:cat>
          <c:val>
            <c:numRef>
              <c:f>Календарь!$H$6:$H$19</c:f>
              <c:numCache>
                <c:formatCode>General</c:formatCode>
                <c:ptCount val="14"/>
                <c:pt idx="0">
                  <c:v>5</c:v>
                </c:pt>
                <c:pt idx="1">
                  <c:v>5</c:v>
                </c:pt>
                <c:pt idx="2">
                  <c:v>14</c:v>
                </c:pt>
                <c:pt idx="3">
                  <c:v>14</c:v>
                </c:pt>
                <c:pt idx="4">
                  <c:v>5</c:v>
                </c:pt>
                <c:pt idx="5">
                  <c:v>14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4</c:v>
                </c:pt>
                <c:pt idx="10">
                  <c:v>5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B7-4B8D-8B4A-EA6400CBB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7394400"/>
        <c:axId val="487385216"/>
      </c:barChart>
      <c:catAx>
        <c:axId val="4873944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7385216"/>
        <c:crosses val="autoZero"/>
        <c:auto val="1"/>
        <c:lblAlgn val="ctr"/>
        <c:lblOffset val="100"/>
        <c:noMultiLvlLbl val="0"/>
      </c:catAx>
      <c:valAx>
        <c:axId val="487385216"/>
        <c:scaling>
          <c:orientation val="minMax"/>
          <c:max val="45901"/>
          <c:min val="45870"/>
        </c:scaling>
        <c:delete val="0"/>
        <c:axPos val="b"/>
        <c:majorGridlines>
          <c:spPr>
            <a:ln>
              <a:solidFill>
                <a:srgbClr val="E1E1E1"/>
              </a:solidFill>
              <a:prstDash val="solid"/>
            </a:ln>
          </c:spPr>
        </c:majorGridlines>
        <c:minorGridlines>
          <c:spPr>
            <a:ln>
              <a:solidFill>
                <a:srgbClr val="F5F5F5"/>
              </a:solidFill>
              <a:prstDash val="solid"/>
            </a:ln>
          </c:spPr>
        </c:minorGridlines>
        <c:numFmt formatCode="m/d/yyyy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487394400"/>
        <c:crosses val="autoZero"/>
        <c:crossBetween val="between"/>
        <c:majorUnit val="7"/>
        <c:minorUnit val="1"/>
      </c:valAx>
    </c:plotArea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Сентябрь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FFFFF"/>
            </a:solidFill>
            <a:ln w="3175">
              <a:solidFill>
                <a:srgbClr val="C0C0C0"/>
              </a:solidFill>
              <a:prstDash val="solid"/>
            </a:ln>
          </c:spPr>
          <c:invertIfNegative val="0"/>
          <c:cat>
            <c:strRef>
              <c:f>Календарь!$B$6:$B$19</c:f>
              <c:strCache>
                <c:ptCount val="14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  <c:pt idx="8">
                  <c:v>Сотрудник 9</c:v>
                </c:pt>
                <c:pt idx="9">
                  <c:v>Сотрудник 10</c:v>
                </c:pt>
                <c:pt idx="10">
                  <c:v>Сотрудник 11</c:v>
                </c:pt>
                <c:pt idx="11">
                  <c:v>Сотрудник 12</c:v>
                </c:pt>
                <c:pt idx="12">
                  <c:v>Сотрудник 13</c:v>
                </c:pt>
                <c:pt idx="13">
                  <c:v>Сотрудник 14</c:v>
                </c:pt>
              </c:strCache>
            </c:strRef>
          </c:cat>
          <c:val>
            <c:numRef>
              <c:f>Календарь!$G$6:$G$19</c:f>
              <c:numCache>
                <c:formatCode>m/d/yyyy</c:formatCode>
                <c:ptCount val="14"/>
                <c:pt idx="0">
                  <c:v>45860</c:v>
                </c:pt>
                <c:pt idx="1">
                  <c:v>45861</c:v>
                </c:pt>
                <c:pt idx="2">
                  <c:v>45904</c:v>
                </c:pt>
                <c:pt idx="3">
                  <c:v>45904</c:v>
                </c:pt>
                <c:pt idx="4">
                  <c:v>45885</c:v>
                </c:pt>
                <c:pt idx="5">
                  <c:v>45916</c:v>
                </c:pt>
                <c:pt idx="6">
                  <c:v>45911</c:v>
                </c:pt>
                <c:pt idx="7">
                  <c:v>45857</c:v>
                </c:pt>
                <c:pt idx="8">
                  <c:v>45894</c:v>
                </c:pt>
                <c:pt idx="9">
                  <c:v>45916</c:v>
                </c:pt>
                <c:pt idx="10">
                  <c:v>45859</c:v>
                </c:pt>
                <c:pt idx="11">
                  <c:v>45881</c:v>
                </c:pt>
                <c:pt idx="12">
                  <c:v>45848</c:v>
                </c:pt>
                <c:pt idx="13">
                  <c:v>45917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77-4663-A09D-1BAC690524B5}"/>
            </c:ext>
          </c:extLst>
        </c:ser>
        <c:ser>
          <c:idx val="1"/>
          <c:order val="1"/>
          <c:spPr>
            <a:solidFill>
              <a:srgbClr val="F0F2E9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Календарь!$B$6:$B$19</c:f>
              <c:strCache>
                <c:ptCount val="14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  <c:pt idx="8">
                  <c:v>Сотрудник 9</c:v>
                </c:pt>
                <c:pt idx="9">
                  <c:v>Сотрудник 10</c:v>
                </c:pt>
                <c:pt idx="10">
                  <c:v>Сотрудник 11</c:v>
                </c:pt>
                <c:pt idx="11">
                  <c:v>Сотрудник 12</c:v>
                </c:pt>
                <c:pt idx="12">
                  <c:v>Сотрудник 13</c:v>
                </c:pt>
                <c:pt idx="13">
                  <c:v>Сотрудник 14</c:v>
                </c:pt>
              </c:strCache>
            </c:strRef>
          </c:cat>
          <c:val>
            <c:numRef>
              <c:f>Календарь!$H$6:$H$19</c:f>
              <c:numCache>
                <c:formatCode>General</c:formatCode>
                <c:ptCount val="14"/>
                <c:pt idx="0">
                  <c:v>5</c:v>
                </c:pt>
                <c:pt idx="1">
                  <c:v>5</c:v>
                </c:pt>
                <c:pt idx="2">
                  <c:v>14</c:v>
                </c:pt>
                <c:pt idx="3">
                  <c:v>14</c:v>
                </c:pt>
                <c:pt idx="4">
                  <c:v>5</c:v>
                </c:pt>
                <c:pt idx="5">
                  <c:v>14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4</c:v>
                </c:pt>
                <c:pt idx="10">
                  <c:v>5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77-4663-A09D-1BAC69052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7395384"/>
        <c:axId val="487396040"/>
      </c:barChart>
      <c:catAx>
        <c:axId val="4873953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7396040"/>
        <c:crosses val="autoZero"/>
        <c:auto val="1"/>
        <c:lblAlgn val="ctr"/>
        <c:lblOffset val="100"/>
        <c:noMultiLvlLbl val="0"/>
      </c:catAx>
      <c:valAx>
        <c:axId val="487396040"/>
        <c:scaling>
          <c:orientation val="minMax"/>
          <c:max val="45931"/>
          <c:min val="45901"/>
        </c:scaling>
        <c:delete val="0"/>
        <c:axPos val="b"/>
        <c:majorGridlines>
          <c:spPr>
            <a:ln>
              <a:solidFill>
                <a:srgbClr val="E1E1E1"/>
              </a:solidFill>
              <a:prstDash val="solid"/>
            </a:ln>
          </c:spPr>
        </c:majorGridlines>
        <c:minorGridlines>
          <c:spPr>
            <a:ln>
              <a:solidFill>
                <a:srgbClr val="F5F5F5"/>
              </a:solidFill>
              <a:prstDash val="solid"/>
            </a:ln>
          </c:spPr>
        </c:minorGridlines>
        <c:numFmt formatCode="m/d/yyyy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487395384"/>
        <c:crosses val="autoZero"/>
        <c:crossBetween val="between"/>
        <c:majorUnit val="7"/>
        <c:minorUnit val="1"/>
      </c:valAx>
    </c:plotArea>
    <c:plotVisOnly val="1"/>
    <c:dispBlanksAs val="gap"/>
    <c:showDLblsOverMax val="0"/>
  </c:char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Октябрь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FFFFF"/>
            </a:solidFill>
            <a:ln w="3175">
              <a:solidFill>
                <a:srgbClr val="C0C0C0"/>
              </a:solidFill>
              <a:prstDash val="solid"/>
            </a:ln>
          </c:spPr>
          <c:invertIfNegative val="0"/>
          <c:cat>
            <c:strRef>
              <c:f>Календарь!$B$6:$B$19</c:f>
              <c:strCache>
                <c:ptCount val="14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  <c:pt idx="8">
                  <c:v>Сотрудник 9</c:v>
                </c:pt>
                <c:pt idx="9">
                  <c:v>Сотрудник 10</c:v>
                </c:pt>
                <c:pt idx="10">
                  <c:v>Сотрудник 11</c:v>
                </c:pt>
                <c:pt idx="11">
                  <c:v>Сотрудник 12</c:v>
                </c:pt>
                <c:pt idx="12">
                  <c:v>Сотрудник 13</c:v>
                </c:pt>
                <c:pt idx="13">
                  <c:v>Сотрудник 14</c:v>
                </c:pt>
              </c:strCache>
            </c:strRef>
          </c:cat>
          <c:val>
            <c:numRef>
              <c:f>Календарь!$I$6:$I$19</c:f>
              <c:numCache>
                <c:formatCode>m/d/yyyy</c:formatCode>
                <c:ptCount val="14"/>
                <c:pt idx="0">
                  <c:v>45984</c:v>
                </c:pt>
                <c:pt idx="1">
                  <c:v>45933</c:v>
                </c:pt>
                <c:pt idx="2">
                  <c:v>45976</c:v>
                </c:pt>
                <c:pt idx="3">
                  <c:v>45939</c:v>
                </c:pt>
                <c:pt idx="4">
                  <c:v>45940</c:v>
                </c:pt>
                <c:pt idx="5">
                  <c:v>45994</c:v>
                </c:pt>
                <c:pt idx="6">
                  <c:v>45954</c:v>
                </c:pt>
                <c:pt idx="7">
                  <c:v>45935</c:v>
                </c:pt>
                <c:pt idx="8">
                  <c:v>45955</c:v>
                </c:pt>
                <c:pt idx="9">
                  <c:v>45961</c:v>
                </c:pt>
                <c:pt idx="10">
                  <c:v>45955</c:v>
                </c:pt>
                <c:pt idx="11">
                  <c:v>46005</c:v>
                </c:pt>
                <c:pt idx="12">
                  <c:v>46008</c:v>
                </c:pt>
                <c:pt idx="13">
                  <c:v>45963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33-434F-8C84-26FB0AB45C91}"/>
            </c:ext>
          </c:extLst>
        </c:ser>
        <c:ser>
          <c:idx val="1"/>
          <c:order val="1"/>
          <c:spPr>
            <a:solidFill>
              <a:srgbClr val="FAF2E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Календарь!$B$6:$B$19</c:f>
              <c:strCache>
                <c:ptCount val="14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  <c:pt idx="8">
                  <c:v>Сотрудник 9</c:v>
                </c:pt>
                <c:pt idx="9">
                  <c:v>Сотрудник 10</c:v>
                </c:pt>
                <c:pt idx="10">
                  <c:v>Сотрудник 11</c:v>
                </c:pt>
                <c:pt idx="11">
                  <c:v>Сотрудник 12</c:v>
                </c:pt>
                <c:pt idx="12">
                  <c:v>Сотрудник 13</c:v>
                </c:pt>
                <c:pt idx="13">
                  <c:v>Сотрудник 14</c:v>
                </c:pt>
              </c:strCache>
            </c:strRef>
          </c:cat>
          <c:val>
            <c:numRef>
              <c:f>Календарь!$J$6:$J$19</c:f>
              <c:numCache>
                <c:formatCode>General</c:formatCode>
                <c:ptCount val="14"/>
                <c:pt idx="0">
                  <c:v>4</c:v>
                </c:pt>
                <c:pt idx="1">
                  <c:v>14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14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33-434F-8C84-26FB0AB45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7339624"/>
        <c:axId val="487335360"/>
      </c:barChart>
      <c:catAx>
        <c:axId val="4873396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7335360"/>
        <c:crosses val="autoZero"/>
        <c:auto val="1"/>
        <c:lblAlgn val="ctr"/>
        <c:lblOffset val="100"/>
        <c:noMultiLvlLbl val="0"/>
      </c:catAx>
      <c:valAx>
        <c:axId val="487335360"/>
        <c:scaling>
          <c:orientation val="minMax"/>
          <c:max val="45962"/>
          <c:min val="45931"/>
        </c:scaling>
        <c:delete val="0"/>
        <c:axPos val="b"/>
        <c:majorGridlines>
          <c:spPr>
            <a:ln>
              <a:solidFill>
                <a:srgbClr val="E1E1E1"/>
              </a:solidFill>
              <a:prstDash val="solid"/>
            </a:ln>
          </c:spPr>
        </c:majorGridlines>
        <c:minorGridlines>
          <c:spPr>
            <a:ln>
              <a:solidFill>
                <a:srgbClr val="F5F5F5"/>
              </a:solidFill>
              <a:prstDash val="solid"/>
            </a:ln>
          </c:spPr>
        </c:minorGridlines>
        <c:numFmt formatCode="m/d/yyyy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487339624"/>
        <c:crosses val="autoZero"/>
        <c:crossBetween val="between"/>
        <c:majorUnit val="7"/>
        <c:minorUnit val="1"/>
      </c:valAx>
    </c:plotArea>
    <c:plotVisOnly val="1"/>
    <c:dispBlanksAs val="gap"/>
    <c:showDLblsOverMax val="0"/>
  </c:char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Ноябрь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FFFFF"/>
            </a:solidFill>
            <a:ln w="3175">
              <a:solidFill>
                <a:srgbClr val="C0C0C0"/>
              </a:solidFill>
              <a:prstDash val="solid"/>
            </a:ln>
          </c:spPr>
          <c:invertIfNegative val="0"/>
          <c:cat>
            <c:strRef>
              <c:f>Календарь!$B$6:$B$19</c:f>
              <c:strCache>
                <c:ptCount val="14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  <c:pt idx="8">
                  <c:v>Сотрудник 9</c:v>
                </c:pt>
                <c:pt idx="9">
                  <c:v>Сотрудник 10</c:v>
                </c:pt>
                <c:pt idx="10">
                  <c:v>Сотрудник 11</c:v>
                </c:pt>
                <c:pt idx="11">
                  <c:v>Сотрудник 12</c:v>
                </c:pt>
                <c:pt idx="12">
                  <c:v>Сотрудник 13</c:v>
                </c:pt>
                <c:pt idx="13">
                  <c:v>Сотрудник 14</c:v>
                </c:pt>
              </c:strCache>
            </c:strRef>
          </c:cat>
          <c:val>
            <c:numRef>
              <c:f>Календарь!$I$6:$I$19</c:f>
              <c:numCache>
                <c:formatCode>m/d/yyyy</c:formatCode>
                <c:ptCount val="14"/>
                <c:pt idx="0">
                  <c:v>45984</c:v>
                </c:pt>
                <c:pt idx="1">
                  <c:v>45933</c:v>
                </c:pt>
                <c:pt idx="2">
                  <c:v>45976</c:v>
                </c:pt>
                <c:pt idx="3">
                  <c:v>45939</c:v>
                </c:pt>
                <c:pt idx="4">
                  <c:v>45940</c:v>
                </c:pt>
                <c:pt idx="5">
                  <c:v>45994</c:v>
                </c:pt>
                <c:pt idx="6">
                  <c:v>45954</c:v>
                </c:pt>
                <c:pt idx="7">
                  <c:v>45935</c:v>
                </c:pt>
                <c:pt idx="8">
                  <c:v>45955</c:v>
                </c:pt>
                <c:pt idx="9">
                  <c:v>45961</c:v>
                </c:pt>
                <c:pt idx="10">
                  <c:v>45955</c:v>
                </c:pt>
                <c:pt idx="11">
                  <c:v>46005</c:v>
                </c:pt>
                <c:pt idx="12">
                  <c:v>46008</c:v>
                </c:pt>
                <c:pt idx="13">
                  <c:v>45963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3-4B44-A22B-43B8715240C5}"/>
            </c:ext>
          </c:extLst>
        </c:ser>
        <c:ser>
          <c:idx val="1"/>
          <c:order val="1"/>
          <c:spPr>
            <a:solidFill>
              <a:srgbClr val="E5EEF2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Календарь!$B$6:$B$19</c:f>
              <c:strCache>
                <c:ptCount val="14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  <c:pt idx="8">
                  <c:v>Сотрудник 9</c:v>
                </c:pt>
                <c:pt idx="9">
                  <c:v>Сотрудник 10</c:v>
                </c:pt>
                <c:pt idx="10">
                  <c:v>Сотрудник 11</c:v>
                </c:pt>
                <c:pt idx="11">
                  <c:v>Сотрудник 12</c:v>
                </c:pt>
                <c:pt idx="12">
                  <c:v>Сотрудник 13</c:v>
                </c:pt>
                <c:pt idx="13">
                  <c:v>Сотрудник 14</c:v>
                </c:pt>
              </c:strCache>
            </c:strRef>
          </c:cat>
          <c:val>
            <c:numRef>
              <c:f>Календарь!$J$6:$J$19</c:f>
              <c:numCache>
                <c:formatCode>General</c:formatCode>
                <c:ptCount val="14"/>
                <c:pt idx="0">
                  <c:v>4</c:v>
                </c:pt>
                <c:pt idx="1">
                  <c:v>14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14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3-4B44-A22B-43B871524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7351104"/>
        <c:axId val="487349792"/>
      </c:barChart>
      <c:catAx>
        <c:axId val="4873511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7349792"/>
        <c:crosses val="autoZero"/>
        <c:auto val="1"/>
        <c:lblAlgn val="ctr"/>
        <c:lblOffset val="100"/>
        <c:noMultiLvlLbl val="0"/>
      </c:catAx>
      <c:valAx>
        <c:axId val="487349792"/>
        <c:scaling>
          <c:orientation val="minMax"/>
          <c:max val="45992"/>
          <c:min val="45962"/>
        </c:scaling>
        <c:delete val="0"/>
        <c:axPos val="b"/>
        <c:majorGridlines>
          <c:spPr>
            <a:ln>
              <a:solidFill>
                <a:srgbClr val="E1E1E1"/>
              </a:solidFill>
              <a:prstDash val="solid"/>
            </a:ln>
          </c:spPr>
        </c:majorGridlines>
        <c:minorGridlines>
          <c:spPr>
            <a:ln>
              <a:solidFill>
                <a:srgbClr val="F5F5F5"/>
              </a:solidFill>
              <a:prstDash val="solid"/>
            </a:ln>
          </c:spPr>
        </c:minorGridlines>
        <c:numFmt formatCode="m/d/yyyy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487351104"/>
        <c:crosses val="autoZero"/>
        <c:crossBetween val="between"/>
        <c:majorUnit val="7"/>
        <c:minorUnit val="1"/>
      </c:valAx>
    </c:plotArea>
    <c:plotVisOnly val="1"/>
    <c:dispBlanksAs val="gap"/>
    <c:showDLblsOverMax val="0"/>
  </c:char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Декабрь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FFFFF"/>
            </a:solidFill>
            <a:ln w="3175">
              <a:solidFill>
                <a:srgbClr val="C0C0C0"/>
              </a:solidFill>
              <a:prstDash val="solid"/>
            </a:ln>
          </c:spPr>
          <c:invertIfNegative val="0"/>
          <c:cat>
            <c:strRef>
              <c:f>Календарь!$B$6:$B$19</c:f>
              <c:strCache>
                <c:ptCount val="14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  <c:pt idx="8">
                  <c:v>Сотрудник 9</c:v>
                </c:pt>
                <c:pt idx="9">
                  <c:v>Сотрудник 10</c:v>
                </c:pt>
                <c:pt idx="10">
                  <c:v>Сотрудник 11</c:v>
                </c:pt>
                <c:pt idx="11">
                  <c:v>Сотрудник 12</c:v>
                </c:pt>
                <c:pt idx="12">
                  <c:v>Сотрудник 13</c:v>
                </c:pt>
                <c:pt idx="13">
                  <c:v>Сотрудник 14</c:v>
                </c:pt>
              </c:strCache>
            </c:strRef>
          </c:cat>
          <c:val>
            <c:numRef>
              <c:f>Календарь!$I$6:$I$19</c:f>
              <c:numCache>
                <c:formatCode>m/d/yyyy</c:formatCode>
                <c:ptCount val="14"/>
                <c:pt idx="0">
                  <c:v>45984</c:v>
                </c:pt>
                <c:pt idx="1">
                  <c:v>45933</c:v>
                </c:pt>
                <c:pt idx="2">
                  <c:v>45976</c:v>
                </c:pt>
                <c:pt idx="3">
                  <c:v>45939</c:v>
                </c:pt>
                <c:pt idx="4">
                  <c:v>45940</c:v>
                </c:pt>
                <c:pt idx="5">
                  <c:v>45994</c:v>
                </c:pt>
                <c:pt idx="6">
                  <c:v>45954</c:v>
                </c:pt>
                <c:pt idx="7">
                  <c:v>45935</c:v>
                </c:pt>
                <c:pt idx="8">
                  <c:v>45955</c:v>
                </c:pt>
                <c:pt idx="9">
                  <c:v>45961</c:v>
                </c:pt>
                <c:pt idx="10">
                  <c:v>45955</c:v>
                </c:pt>
                <c:pt idx="11">
                  <c:v>46005</c:v>
                </c:pt>
                <c:pt idx="12">
                  <c:v>46008</c:v>
                </c:pt>
                <c:pt idx="13">
                  <c:v>45963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29-4E2D-9C09-5998670B34E5}"/>
            </c:ext>
          </c:extLst>
        </c:ser>
        <c:ser>
          <c:idx val="1"/>
          <c:order val="1"/>
          <c:spPr>
            <a:solidFill>
              <a:srgbClr val="EFF8E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Календарь!$B$6:$B$19</c:f>
              <c:strCache>
                <c:ptCount val="14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  <c:pt idx="8">
                  <c:v>Сотрудник 9</c:v>
                </c:pt>
                <c:pt idx="9">
                  <c:v>Сотрудник 10</c:v>
                </c:pt>
                <c:pt idx="10">
                  <c:v>Сотрудник 11</c:v>
                </c:pt>
                <c:pt idx="11">
                  <c:v>Сотрудник 12</c:v>
                </c:pt>
                <c:pt idx="12">
                  <c:v>Сотрудник 13</c:v>
                </c:pt>
                <c:pt idx="13">
                  <c:v>Сотрудник 14</c:v>
                </c:pt>
              </c:strCache>
            </c:strRef>
          </c:cat>
          <c:val>
            <c:numRef>
              <c:f>Календарь!$J$6:$J$19</c:f>
              <c:numCache>
                <c:formatCode>General</c:formatCode>
                <c:ptCount val="14"/>
                <c:pt idx="0">
                  <c:v>4</c:v>
                </c:pt>
                <c:pt idx="1">
                  <c:v>14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14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29-4E2D-9C09-5998670B3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7347824"/>
        <c:axId val="487350120"/>
      </c:barChart>
      <c:catAx>
        <c:axId val="4873478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7350120"/>
        <c:crosses val="autoZero"/>
        <c:auto val="1"/>
        <c:lblAlgn val="ctr"/>
        <c:lblOffset val="100"/>
        <c:noMultiLvlLbl val="0"/>
      </c:catAx>
      <c:valAx>
        <c:axId val="487350120"/>
        <c:scaling>
          <c:orientation val="minMax"/>
          <c:max val="46022"/>
          <c:min val="45992"/>
        </c:scaling>
        <c:delete val="0"/>
        <c:axPos val="b"/>
        <c:majorGridlines>
          <c:spPr>
            <a:ln>
              <a:solidFill>
                <a:srgbClr val="E1E1E1"/>
              </a:solidFill>
              <a:prstDash val="solid"/>
            </a:ln>
          </c:spPr>
        </c:majorGridlines>
        <c:minorGridlines>
          <c:spPr>
            <a:ln>
              <a:solidFill>
                <a:srgbClr val="F5F5F5"/>
              </a:solidFill>
              <a:prstDash val="solid"/>
            </a:ln>
          </c:spPr>
        </c:minorGridlines>
        <c:numFmt formatCode="m/d/yyyy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487347824"/>
        <c:crosses val="autoZero"/>
        <c:crossBetween val="between"/>
        <c:majorUnit val="7"/>
        <c:minorUnit val="1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Диаграмма87"/>
  <sheetViews>
    <sheetView zoomScale="11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Диаграмма88">
    <tabColor rgb="FF92D050"/>
  </sheetPr>
  <sheetViews>
    <sheetView zoomScale="11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Диаграмма89">
    <tabColor rgb="FF92D050"/>
  </sheetPr>
  <sheetViews>
    <sheetView zoomScale="11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Диаграмма90">
    <tabColor rgb="FF92D050"/>
  </sheetPr>
  <sheetViews>
    <sheetView zoomScale="11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Диаграмма91">
    <tabColor rgb="FF92D050"/>
  </sheetPr>
  <sheetViews>
    <sheetView zoomScale="116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Диаграмма92">
    <tabColor rgb="FF92D050"/>
  </sheetPr>
  <sheetViews>
    <sheetView zoomScale="116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Диаграмма93">
    <tabColor rgb="FF92D050"/>
  </sheetPr>
  <sheetViews>
    <sheetView zoomScale="116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Диаграмма94">
    <tabColor rgb="FF92D050"/>
  </sheetPr>
  <sheetViews>
    <sheetView zoomScale="116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Диаграмма95">
    <tabColor rgb="FF92D050"/>
  </sheetPr>
  <sheetViews>
    <sheetView zoomScale="116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Диаграмма96">
    <tabColor rgb="FF92D050"/>
  </sheetPr>
  <sheetViews>
    <sheetView zoomScale="116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 codeName="Диаграмма97">
    <tabColor rgb="FF92D050"/>
  </sheetPr>
  <sheetViews>
    <sheetView zoomScale="116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 codeName="Диаграмма98">
    <tabColor rgb="FF92D050"/>
  </sheetPr>
  <sheetViews>
    <sheetView zoomScale="11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20</xdr:col>
          <xdr:colOff>0</xdr:colOff>
          <xdr:row>15</xdr:row>
          <xdr:rowOff>0</xdr:rowOff>
        </xdr:to>
        <xdr:sp macro="" textlink="">
          <xdr:nvSpPr>
            <xdr:cNvPr id="15361" name="Generate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0</xdr:rowOff>
        </xdr:from>
        <xdr:to>
          <xdr:col>20</xdr:col>
          <xdr:colOff>0</xdr:colOff>
          <xdr:row>18</xdr:row>
          <xdr:rowOff>0</xdr:rowOff>
        </xdr:to>
        <xdr:sp macro="" textlink="">
          <xdr:nvSpPr>
            <xdr:cNvPr id="15362" name="Clean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3297" cy="6076293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3297" cy="6076293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3297" cy="6076293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3297" cy="6076293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3297" cy="6076293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3297" cy="6076293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3297" cy="6076293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3297" cy="6076293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3297" cy="6076293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3297" cy="6076293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3297" cy="6076293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3297" cy="6076293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FF0000"/>
  </sheetPr>
  <dimension ref="A1:E220"/>
  <sheetViews>
    <sheetView workbookViewId="0">
      <selection activeCell="A19" sqref="A19"/>
    </sheetView>
  </sheetViews>
  <sheetFormatPr defaultRowHeight="15" x14ac:dyDescent="0.25"/>
  <cols>
    <col min="1" max="1" width="10" customWidth="1"/>
    <col min="2" max="2" width="24.7109375" customWidth="1"/>
    <col min="3" max="4" width="10" customWidth="1"/>
    <col min="5" max="5" width="42.85546875" customWidth="1"/>
  </cols>
  <sheetData>
    <row r="1" spans="1:5" x14ac:dyDescent="0.25">
      <c r="B1" s="81" t="s">
        <v>90</v>
      </c>
    </row>
    <row r="3" spans="1:5" x14ac:dyDescent="0.25">
      <c r="A3" s="7" t="s">
        <v>62</v>
      </c>
      <c r="B3" s="8"/>
      <c r="C3" s="8"/>
      <c r="D3" s="8"/>
      <c r="E3" s="9"/>
    </row>
    <row r="4" spans="1:5" x14ac:dyDescent="0.25">
      <c r="A4" s="10"/>
      <c r="B4" s="11"/>
      <c r="C4" s="11"/>
      <c r="D4" s="11"/>
      <c r="E4" s="12"/>
    </row>
    <row r="5" spans="1:5" x14ac:dyDescent="0.25">
      <c r="A5" s="36" t="s">
        <v>11</v>
      </c>
      <c r="B5" s="24"/>
      <c r="C5" s="25"/>
      <c r="D5" s="35"/>
      <c r="E5" s="12"/>
    </row>
    <row r="6" spans="1:5" x14ac:dyDescent="0.25">
      <c r="A6" s="36"/>
      <c r="B6" s="24" t="s">
        <v>0</v>
      </c>
      <c r="C6" s="26">
        <f>2*60+25</f>
        <v>145</v>
      </c>
      <c r="D6" s="24" t="s">
        <v>6</v>
      </c>
      <c r="E6" s="12"/>
    </row>
    <row r="7" spans="1:5" x14ac:dyDescent="0.25">
      <c r="A7" s="36"/>
      <c r="B7" s="24" t="s">
        <v>2</v>
      </c>
      <c r="C7" s="26">
        <f>7*60*60</f>
        <v>25200</v>
      </c>
      <c r="D7" s="35" t="s">
        <v>4</v>
      </c>
      <c r="E7" s="12"/>
    </row>
    <row r="8" spans="1:5" x14ac:dyDescent="0.25">
      <c r="A8" s="36"/>
      <c r="B8" s="24" t="s">
        <v>1</v>
      </c>
      <c r="C8" s="26">
        <f>(14*60+43)*60+41</f>
        <v>53021</v>
      </c>
      <c r="D8" s="35" t="s">
        <v>5</v>
      </c>
      <c r="E8" s="12"/>
    </row>
    <row r="9" spans="1:5" x14ac:dyDescent="0.25">
      <c r="A9" s="36"/>
      <c r="B9" s="24" t="s">
        <v>8</v>
      </c>
      <c r="C9" s="26">
        <f>CHECK_POINT-START_POINT</f>
        <v>27821</v>
      </c>
      <c r="D9" s="24" t="s">
        <v>9</v>
      </c>
      <c r="E9" s="12"/>
    </row>
    <row r="10" spans="1:5" x14ac:dyDescent="0.25">
      <c r="A10" s="36"/>
      <c r="B10" s="24"/>
      <c r="C10" s="26"/>
      <c r="D10" s="24"/>
      <c r="E10" s="12"/>
    </row>
    <row r="11" spans="1:5" x14ac:dyDescent="0.25">
      <c r="A11" s="36" t="s">
        <v>12</v>
      </c>
      <c r="B11" s="24"/>
      <c r="C11" s="27"/>
      <c r="D11" s="24"/>
      <c r="E11" s="12"/>
    </row>
    <row r="12" spans="1:5" x14ac:dyDescent="0.25">
      <c r="A12" s="36"/>
      <c r="B12" s="24" t="s">
        <v>7</v>
      </c>
      <c r="C12" s="26">
        <f>INT(TIME_SINCE_START/CYCLE_LENGTH)</f>
        <v>191</v>
      </c>
      <c r="D12" s="24" t="s">
        <v>10</v>
      </c>
      <c r="E12" s="12"/>
    </row>
    <row r="13" spans="1:5" x14ac:dyDescent="0.25">
      <c r="A13" s="36"/>
      <c r="B13" s="24" t="s">
        <v>19</v>
      </c>
      <c r="C13" s="27"/>
      <c r="D13" s="24"/>
      <c r="E13" s="12"/>
    </row>
    <row r="14" spans="1:5" x14ac:dyDescent="0.25">
      <c r="A14" s="36"/>
      <c r="B14" s="28" t="s">
        <v>13</v>
      </c>
      <c r="C14" s="29">
        <f>START_POINT+CYCLE_LENGTH*nCycles</f>
        <v>52895</v>
      </c>
      <c r="D14" s="28" t="s">
        <v>16</v>
      </c>
      <c r="E14" s="12"/>
    </row>
    <row r="15" spans="1:5" x14ac:dyDescent="0.25">
      <c r="A15" s="36"/>
      <c r="B15" s="30" t="s">
        <v>14</v>
      </c>
      <c r="C15" s="18">
        <f>timeLastCycleRedStart+2*60</f>
        <v>53015</v>
      </c>
      <c r="D15" s="30" t="s">
        <v>17</v>
      </c>
      <c r="E15" s="12"/>
    </row>
    <row r="16" spans="1:5" x14ac:dyDescent="0.25">
      <c r="A16" s="36"/>
      <c r="B16" s="31" t="str">
        <f>B8</f>
        <v>CHECK_POINT =</v>
      </c>
      <c r="C16" s="32">
        <f>CHECK_POINT</f>
        <v>53021</v>
      </c>
      <c r="D16" s="31" t="s">
        <v>52</v>
      </c>
      <c r="E16" s="12"/>
    </row>
    <row r="17" spans="1:5" x14ac:dyDescent="0.25">
      <c r="A17" s="36"/>
      <c r="B17" s="30" t="s">
        <v>15</v>
      </c>
      <c r="C17" s="18">
        <f>timeLastCycleGreenStart+15</f>
        <v>53030</v>
      </c>
      <c r="D17" s="30" t="s">
        <v>18</v>
      </c>
      <c r="E17" s="12"/>
    </row>
    <row r="18" spans="1:5" x14ac:dyDescent="0.25">
      <c r="A18" s="36"/>
      <c r="B18" s="24"/>
      <c r="C18" s="11"/>
      <c r="D18" s="24"/>
      <c r="E18" s="12"/>
    </row>
    <row r="19" spans="1:5" x14ac:dyDescent="0.25">
      <c r="A19" s="37" t="s">
        <v>3</v>
      </c>
      <c r="B19" s="33" t="s">
        <v>51</v>
      </c>
      <c r="C19" s="34"/>
      <c r="D19" s="33"/>
      <c r="E19" s="38"/>
    </row>
    <row r="20" spans="1:5" x14ac:dyDescent="0.25">
      <c r="B20" s="5"/>
      <c r="C20" s="5"/>
      <c r="E20" s="5"/>
    </row>
    <row r="21" spans="1:5" x14ac:dyDescent="0.25">
      <c r="A21" s="7" t="s">
        <v>53</v>
      </c>
      <c r="B21" s="8"/>
      <c r="C21" s="8"/>
      <c r="D21" s="9"/>
    </row>
    <row r="22" spans="1:5" x14ac:dyDescent="0.25">
      <c r="A22" s="10"/>
      <c r="B22" s="11"/>
      <c r="C22" s="11"/>
      <c r="D22" s="12"/>
    </row>
    <row r="23" spans="1:5" x14ac:dyDescent="0.25">
      <c r="A23" s="41">
        <v>0</v>
      </c>
      <c r="B23" s="42">
        <v>1.3888888888888889E-3</v>
      </c>
      <c r="C23" s="42">
        <v>1.5624999999999999E-3</v>
      </c>
      <c r="D23" s="43">
        <v>1.6782407407407406E-3</v>
      </c>
    </row>
    <row r="24" spans="1:5" x14ac:dyDescent="0.25">
      <c r="A24" s="13">
        <v>0.29166666666666702</v>
      </c>
      <c r="B24" s="14">
        <v>0.29305555555555557</v>
      </c>
      <c r="C24" s="14">
        <v>0.29322916666666665</v>
      </c>
      <c r="D24" s="15">
        <v>0.29334490740740743</v>
      </c>
    </row>
    <row r="25" spans="1:5" x14ac:dyDescent="0.25">
      <c r="A25" s="13">
        <f t="shared" ref="A25:A56" si="0">A24+$D$23</f>
        <v>0.29334490740740776</v>
      </c>
      <c r="B25" s="14">
        <f t="shared" ref="B25:B56" si="1">B24+$D$23</f>
        <v>0.29473379629629631</v>
      </c>
      <c r="C25" s="14">
        <f t="shared" ref="C25:C56" si="2">C24+$D$23</f>
        <v>0.2949074074074074</v>
      </c>
      <c r="D25" s="15">
        <f t="shared" ref="D25:D56" si="3">D24+$D$23</f>
        <v>0.29502314814814817</v>
      </c>
    </row>
    <row r="26" spans="1:5" x14ac:dyDescent="0.25">
      <c r="A26" s="13">
        <f t="shared" si="0"/>
        <v>0.29502314814814851</v>
      </c>
      <c r="B26" s="14">
        <f t="shared" si="1"/>
        <v>0.29641203703703706</v>
      </c>
      <c r="C26" s="14">
        <f t="shared" si="2"/>
        <v>0.29658564814814814</v>
      </c>
      <c r="D26" s="15">
        <f t="shared" si="3"/>
        <v>0.29670138888888892</v>
      </c>
    </row>
    <row r="27" spans="1:5" x14ac:dyDescent="0.25">
      <c r="A27" s="13">
        <f t="shared" si="0"/>
        <v>0.29670138888888925</v>
      </c>
      <c r="B27" s="14">
        <f t="shared" si="1"/>
        <v>0.2980902777777778</v>
      </c>
      <c r="C27" s="14">
        <f t="shared" si="2"/>
        <v>0.29826388888888888</v>
      </c>
      <c r="D27" s="15">
        <f t="shared" si="3"/>
        <v>0.29837962962962966</v>
      </c>
    </row>
    <row r="28" spans="1:5" hidden="1" x14ac:dyDescent="0.25">
      <c r="A28" s="13">
        <f t="shared" si="0"/>
        <v>0.29837962962962999</v>
      </c>
      <c r="B28" s="14">
        <f t="shared" si="1"/>
        <v>0.29976851851851855</v>
      </c>
      <c r="C28" s="14">
        <f t="shared" si="2"/>
        <v>0.29994212962962963</v>
      </c>
      <c r="D28" s="15">
        <f t="shared" si="3"/>
        <v>0.30005787037037041</v>
      </c>
    </row>
    <row r="29" spans="1:5" hidden="1" x14ac:dyDescent="0.25">
      <c r="A29" s="13">
        <f t="shared" si="0"/>
        <v>0.30005787037037074</v>
      </c>
      <c r="B29" s="14">
        <f t="shared" si="1"/>
        <v>0.30144675925925929</v>
      </c>
      <c r="C29" s="14">
        <f t="shared" si="2"/>
        <v>0.30162037037037037</v>
      </c>
      <c r="D29" s="15">
        <f t="shared" si="3"/>
        <v>0.30173611111111115</v>
      </c>
    </row>
    <row r="30" spans="1:5" hidden="1" x14ac:dyDescent="0.25">
      <c r="A30" s="13">
        <f t="shared" si="0"/>
        <v>0.30173611111111148</v>
      </c>
      <c r="B30" s="14">
        <f t="shared" si="1"/>
        <v>0.30312500000000003</v>
      </c>
      <c r="C30" s="14">
        <f t="shared" si="2"/>
        <v>0.30329861111111112</v>
      </c>
      <c r="D30" s="15">
        <f t="shared" si="3"/>
        <v>0.30341435185185189</v>
      </c>
    </row>
    <row r="31" spans="1:5" hidden="1" x14ac:dyDescent="0.25">
      <c r="A31" s="13">
        <f t="shared" si="0"/>
        <v>0.30341435185185223</v>
      </c>
      <c r="B31" s="14">
        <f t="shared" si="1"/>
        <v>0.30480324074074078</v>
      </c>
      <c r="C31" s="14">
        <f t="shared" si="2"/>
        <v>0.30497685185185186</v>
      </c>
      <c r="D31" s="15">
        <f t="shared" si="3"/>
        <v>0.30509259259259264</v>
      </c>
    </row>
    <row r="32" spans="1:5" hidden="1" x14ac:dyDescent="0.25">
      <c r="A32" s="13">
        <f t="shared" si="0"/>
        <v>0.30509259259259297</v>
      </c>
      <c r="B32" s="14">
        <f t="shared" si="1"/>
        <v>0.30648148148148152</v>
      </c>
      <c r="C32" s="14">
        <f t="shared" si="2"/>
        <v>0.3066550925925926</v>
      </c>
      <c r="D32" s="15">
        <f t="shared" si="3"/>
        <v>0.30677083333333338</v>
      </c>
    </row>
    <row r="33" spans="1:4" hidden="1" x14ac:dyDescent="0.25">
      <c r="A33" s="13">
        <f t="shared" si="0"/>
        <v>0.30677083333333371</v>
      </c>
      <c r="B33" s="14">
        <f t="shared" si="1"/>
        <v>0.30815972222222227</v>
      </c>
      <c r="C33" s="14">
        <f t="shared" si="2"/>
        <v>0.30833333333333335</v>
      </c>
      <c r="D33" s="15">
        <f t="shared" si="3"/>
        <v>0.30844907407407413</v>
      </c>
    </row>
    <row r="34" spans="1:4" hidden="1" x14ac:dyDescent="0.25">
      <c r="A34" s="13">
        <f t="shared" si="0"/>
        <v>0.30844907407407446</v>
      </c>
      <c r="B34" s="14">
        <f t="shared" si="1"/>
        <v>0.30983796296296301</v>
      </c>
      <c r="C34" s="14">
        <f t="shared" si="2"/>
        <v>0.31001157407407409</v>
      </c>
      <c r="D34" s="15">
        <f t="shared" si="3"/>
        <v>0.31012731481481487</v>
      </c>
    </row>
    <row r="35" spans="1:4" hidden="1" x14ac:dyDescent="0.25">
      <c r="A35" s="13">
        <f t="shared" si="0"/>
        <v>0.3101273148148152</v>
      </c>
      <c r="B35" s="14">
        <f t="shared" si="1"/>
        <v>0.31151620370370375</v>
      </c>
      <c r="C35" s="14">
        <f t="shared" si="2"/>
        <v>0.31168981481481484</v>
      </c>
      <c r="D35" s="15">
        <f t="shared" si="3"/>
        <v>0.31180555555555561</v>
      </c>
    </row>
    <row r="36" spans="1:4" hidden="1" x14ac:dyDescent="0.25">
      <c r="A36" s="13">
        <f t="shared" si="0"/>
        <v>0.31180555555555595</v>
      </c>
      <c r="B36" s="14">
        <f t="shared" si="1"/>
        <v>0.3131944444444445</v>
      </c>
      <c r="C36" s="14">
        <f t="shared" si="2"/>
        <v>0.31336805555555558</v>
      </c>
      <c r="D36" s="15">
        <f t="shared" si="3"/>
        <v>0.31348379629629636</v>
      </c>
    </row>
    <row r="37" spans="1:4" hidden="1" x14ac:dyDescent="0.25">
      <c r="A37" s="13">
        <f t="shared" si="0"/>
        <v>0.31348379629629669</v>
      </c>
      <c r="B37" s="14">
        <f t="shared" si="1"/>
        <v>0.31487268518518524</v>
      </c>
      <c r="C37" s="14">
        <f t="shared" si="2"/>
        <v>0.31504629629629632</v>
      </c>
      <c r="D37" s="15">
        <f t="shared" si="3"/>
        <v>0.3151620370370371</v>
      </c>
    </row>
    <row r="38" spans="1:4" hidden="1" x14ac:dyDescent="0.25">
      <c r="A38" s="13">
        <f t="shared" si="0"/>
        <v>0.31516203703703743</v>
      </c>
      <c r="B38" s="14">
        <f t="shared" si="1"/>
        <v>0.31655092592592599</v>
      </c>
      <c r="C38" s="14">
        <f t="shared" si="2"/>
        <v>0.31672453703703707</v>
      </c>
      <c r="D38" s="15">
        <f t="shared" si="3"/>
        <v>0.31684027777777785</v>
      </c>
    </row>
    <row r="39" spans="1:4" hidden="1" x14ac:dyDescent="0.25">
      <c r="A39" s="13">
        <f t="shared" si="0"/>
        <v>0.31684027777777818</v>
      </c>
      <c r="B39" s="14">
        <f t="shared" si="1"/>
        <v>0.31822916666666673</v>
      </c>
      <c r="C39" s="14">
        <f t="shared" si="2"/>
        <v>0.31840277777777781</v>
      </c>
      <c r="D39" s="15">
        <f t="shared" si="3"/>
        <v>0.31851851851851859</v>
      </c>
    </row>
    <row r="40" spans="1:4" hidden="1" x14ac:dyDescent="0.25">
      <c r="A40" s="13">
        <f t="shared" si="0"/>
        <v>0.31851851851851892</v>
      </c>
      <c r="B40" s="14">
        <f t="shared" si="1"/>
        <v>0.31990740740740747</v>
      </c>
      <c r="C40" s="14">
        <f t="shared" si="2"/>
        <v>0.32008101851851856</v>
      </c>
      <c r="D40" s="15">
        <f t="shared" si="3"/>
        <v>0.32019675925925933</v>
      </c>
    </row>
    <row r="41" spans="1:4" hidden="1" x14ac:dyDescent="0.25">
      <c r="A41" s="13">
        <f t="shared" si="0"/>
        <v>0.32019675925925967</v>
      </c>
      <c r="B41" s="14">
        <f t="shared" si="1"/>
        <v>0.32158564814814822</v>
      </c>
      <c r="C41" s="14">
        <f t="shared" si="2"/>
        <v>0.3217592592592593</v>
      </c>
      <c r="D41" s="15">
        <f t="shared" si="3"/>
        <v>0.32187500000000008</v>
      </c>
    </row>
    <row r="42" spans="1:4" hidden="1" x14ac:dyDescent="0.25">
      <c r="A42" s="13">
        <f t="shared" si="0"/>
        <v>0.32187500000000041</v>
      </c>
      <c r="B42" s="14">
        <f t="shared" si="1"/>
        <v>0.32326388888888896</v>
      </c>
      <c r="C42" s="14">
        <f t="shared" si="2"/>
        <v>0.32343750000000004</v>
      </c>
      <c r="D42" s="15">
        <f t="shared" si="3"/>
        <v>0.32355324074074082</v>
      </c>
    </row>
    <row r="43" spans="1:4" hidden="1" x14ac:dyDescent="0.25">
      <c r="A43" s="13">
        <f t="shared" si="0"/>
        <v>0.32355324074074115</v>
      </c>
      <c r="B43" s="14">
        <f t="shared" si="1"/>
        <v>0.32494212962962971</v>
      </c>
      <c r="C43" s="14">
        <f t="shared" si="2"/>
        <v>0.32511574074074079</v>
      </c>
      <c r="D43" s="15">
        <f t="shared" si="3"/>
        <v>0.32523148148148157</v>
      </c>
    </row>
    <row r="44" spans="1:4" hidden="1" x14ac:dyDescent="0.25">
      <c r="A44" s="13">
        <f t="shared" si="0"/>
        <v>0.3252314814814819</v>
      </c>
      <c r="B44" s="14">
        <f t="shared" si="1"/>
        <v>0.32662037037037045</v>
      </c>
      <c r="C44" s="14">
        <f t="shared" si="2"/>
        <v>0.32679398148148153</v>
      </c>
      <c r="D44" s="15">
        <f t="shared" si="3"/>
        <v>0.32690972222222231</v>
      </c>
    </row>
    <row r="45" spans="1:4" hidden="1" x14ac:dyDescent="0.25">
      <c r="A45" s="13">
        <f t="shared" si="0"/>
        <v>0.32690972222222264</v>
      </c>
      <c r="B45" s="14">
        <f t="shared" si="1"/>
        <v>0.32829861111111119</v>
      </c>
      <c r="C45" s="14">
        <f t="shared" si="2"/>
        <v>0.32847222222222228</v>
      </c>
      <c r="D45" s="15">
        <f t="shared" si="3"/>
        <v>0.32858796296296305</v>
      </c>
    </row>
    <row r="46" spans="1:4" hidden="1" x14ac:dyDescent="0.25">
      <c r="A46" s="13">
        <f t="shared" si="0"/>
        <v>0.32858796296296339</v>
      </c>
      <c r="B46" s="14">
        <f t="shared" si="1"/>
        <v>0.32997685185185194</v>
      </c>
      <c r="C46" s="14">
        <f t="shared" si="2"/>
        <v>0.33015046296296302</v>
      </c>
      <c r="D46" s="15">
        <f t="shared" si="3"/>
        <v>0.3302662037037038</v>
      </c>
    </row>
    <row r="47" spans="1:4" hidden="1" x14ac:dyDescent="0.25">
      <c r="A47" s="13">
        <f t="shared" si="0"/>
        <v>0.33026620370370413</v>
      </c>
      <c r="B47" s="14">
        <f t="shared" si="1"/>
        <v>0.33165509259259268</v>
      </c>
      <c r="C47" s="14">
        <f t="shared" si="2"/>
        <v>0.33182870370370376</v>
      </c>
      <c r="D47" s="15">
        <f t="shared" si="3"/>
        <v>0.33194444444444454</v>
      </c>
    </row>
    <row r="48" spans="1:4" hidden="1" x14ac:dyDescent="0.25">
      <c r="A48" s="13">
        <f t="shared" si="0"/>
        <v>0.33194444444444487</v>
      </c>
      <c r="B48" s="14">
        <f t="shared" si="1"/>
        <v>0.33333333333333343</v>
      </c>
      <c r="C48" s="14">
        <f t="shared" si="2"/>
        <v>0.33350694444444451</v>
      </c>
      <c r="D48" s="15">
        <f t="shared" si="3"/>
        <v>0.33362268518518529</v>
      </c>
    </row>
    <row r="49" spans="1:4" hidden="1" x14ac:dyDescent="0.25">
      <c r="A49" s="13">
        <f t="shared" si="0"/>
        <v>0.33362268518518562</v>
      </c>
      <c r="B49" s="14">
        <f t="shared" si="1"/>
        <v>0.33501157407407417</v>
      </c>
      <c r="C49" s="14">
        <f t="shared" si="2"/>
        <v>0.33518518518518525</v>
      </c>
      <c r="D49" s="15">
        <f t="shared" si="3"/>
        <v>0.33530092592592603</v>
      </c>
    </row>
    <row r="50" spans="1:4" hidden="1" x14ac:dyDescent="0.25">
      <c r="A50" s="13">
        <f t="shared" si="0"/>
        <v>0.33530092592592636</v>
      </c>
      <c r="B50" s="14">
        <f t="shared" si="1"/>
        <v>0.33668981481481491</v>
      </c>
      <c r="C50" s="14">
        <f t="shared" si="2"/>
        <v>0.336863425925926</v>
      </c>
      <c r="D50" s="15">
        <f t="shared" si="3"/>
        <v>0.33697916666666677</v>
      </c>
    </row>
    <row r="51" spans="1:4" hidden="1" x14ac:dyDescent="0.25">
      <c r="A51" s="13">
        <f t="shared" si="0"/>
        <v>0.33697916666666711</v>
      </c>
      <c r="B51" s="14">
        <f t="shared" si="1"/>
        <v>0.33836805555555566</v>
      </c>
      <c r="C51" s="14">
        <f t="shared" si="2"/>
        <v>0.33854166666666674</v>
      </c>
      <c r="D51" s="15">
        <f t="shared" si="3"/>
        <v>0.33865740740740752</v>
      </c>
    </row>
    <row r="52" spans="1:4" hidden="1" x14ac:dyDescent="0.25">
      <c r="A52" s="13">
        <f t="shared" si="0"/>
        <v>0.33865740740740785</v>
      </c>
      <c r="B52" s="14">
        <f t="shared" si="1"/>
        <v>0.3400462962962964</v>
      </c>
      <c r="C52" s="14">
        <f t="shared" si="2"/>
        <v>0.34021990740740748</v>
      </c>
      <c r="D52" s="15">
        <f t="shared" si="3"/>
        <v>0.34033564814814826</v>
      </c>
    </row>
    <row r="53" spans="1:4" hidden="1" x14ac:dyDescent="0.25">
      <c r="A53" s="13">
        <f t="shared" si="0"/>
        <v>0.3403356481481486</v>
      </c>
      <c r="B53" s="14">
        <f t="shared" si="1"/>
        <v>0.34172453703703715</v>
      </c>
      <c r="C53" s="14">
        <f t="shared" si="2"/>
        <v>0.34189814814814823</v>
      </c>
      <c r="D53" s="15">
        <f t="shared" si="3"/>
        <v>0.34201388888888901</v>
      </c>
    </row>
    <row r="54" spans="1:4" hidden="1" x14ac:dyDescent="0.25">
      <c r="A54" s="13">
        <f t="shared" si="0"/>
        <v>0.34201388888888934</v>
      </c>
      <c r="B54" s="14">
        <f t="shared" si="1"/>
        <v>0.34340277777777789</v>
      </c>
      <c r="C54" s="14">
        <f t="shared" si="2"/>
        <v>0.34357638888888897</v>
      </c>
      <c r="D54" s="15">
        <f t="shared" si="3"/>
        <v>0.34369212962962975</v>
      </c>
    </row>
    <row r="55" spans="1:4" hidden="1" x14ac:dyDescent="0.25">
      <c r="A55" s="13">
        <f t="shared" si="0"/>
        <v>0.34369212962963008</v>
      </c>
      <c r="B55" s="14">
        <f t="shared" si="1"/>
        <v>0.34508101851851863</v>
      </c>
      <c r="C55" s="14">
        <f t="shared" si="2"/>
        <v>0.34525462962962972</v>
      </c>
      <c r="D55" s="15">
        <f t="shared" si="3"/>
        <v>0.34537037037037049</v>
      </c>
    </row>
    <row r="56" spans="1:4" hidden="1" x14ac:dyDescent="0.25">
      <c r="A56" s="13">
        <f t="shared" si="0"/>
        <v>0.34537037037037083</v>
      </c>
      <c r="B56" s="14">
        <f t="shared" si="1"/>
        <v>0.34675925925925938</v>
      </c>
      <c r="C56" s="14">
        <f t="shared" si="2"/>
        <v>0.34693287037037046</v>
      </c>
      <c r="D56" s="15">
        <f t="shared" si="3"/>
        <v>0.34704861111111124</v>
      </c>
    </row>
    <row r="57" spans="1:4" hidden="1" x14ac:dyDescent="0.25">
      <c r="A57" s="13">
        <f t="shared" ref="A57:A88" si="4">A56+$D$23</f>
        <v>0.34704861111111157</v>
      </c>
      <c r="B57" s="14">
        <f t="shared" ref="B57:B88" si="5">B56+$D$23</f>
        <v>0.34843750000000012</v>
      </c>
      <c r="C57" s="14">
        <f t="shared" ref="C57:C88" si="6">C56+$D$23</f>
        <v>0.3486111111111112</v>
      </c>
      <c r="D57" s="15">
        <f t="shared" ref="D57:D88" si="7">D56+$D$23</f>
        <v>0.34872685185185198</v>
      </c>
    </row>
    <row r="58" spans="1:4" hidden="1" x14ac:dyDescent="0.25">
      <c r="A58" s="13">
        <f t="shared" si="4"/>
        <v>0.34872685185185232</v>
      </c>
      <c r="B58" s="14">
        <f t="shared" si="5"/>
        <v>0.35011574074074087</v>
      </c>
      <c r="C58" s="14">
        <f t="shared" si="6"/>
        <v>0.35028935185185195</v>
      </c>
      <c r="D58" s="15">
        <f t="shared" si="7"/>
        <v>0.35040509259259273</v>
      </c>
    </row>
    <row r="59" spans="1:4" hidden="1" x14ac:dyDescent="0.25">
      <c r="A59" s="13">
        <f t="shared" si="4"/>
        <v>0.35040509259259306</v>
      </c>
      <c r="B59" s="14">
        <f t="shared" si="5"/>
        <v>0.35179398148148161</v>
      </c>
      <c r="C59" s="14">
        <f t="shared" si="6"/>
        <v>0.35196759259259269</v>
      </c>
      <c r="D59" s="15">
        <f t="shared" si="7"/>
        <v>0.35208333333333347</v>
      </c>
    </row>
    <row r="60" spans="1:4" hidden="1" x14ac:dyDescent="0.25">
      <c r="A60" s="13">
        <f t="shared" si="4"/>
        <v>0.3520833333333338</v>
      </c>
      <c r="B60" s="14">
        <f t="shared" si="5"/>
        <v>0.35347222222222235</v>
      </c>
      <c r="C60" s="14">
        <f t="shared" si="6"/>
        <v>0.35364583333333344</v>
      </c>
      <c r="D60" s="15">
        <f t="shared" si="7"/>
        <v>0.35376157407407421</v>
      </c>
    </row>
    <row r="61" spans="1:4" hidden="1" x14ac:dyDescent="0.25">
      <c r="A61" s="13">
        <f t="shared" si="4"/>
        <v>0.35376157407407455</v>
      </c>
      <c r="B61" s="14">
        <f t="shared" si="5"/>
        <v>0.3551504629629631</v>
      </c>
      <c r="C61" s="14">
        <f t="shared" si="6"/>
        <v>0.35532407407407418</v>
      </c>
      <c r="D61" s="15">
        <f t="shared" si="7"/>
        <v>0.35543981481481496</v>
      </c>
    </row>
    <row r="62" spans="1:4" hidden="1" x14ac:dyDescent="0.25">
      <c r="A62" s="13">
        <f t="shared" si="4"/>
        <v>0.35543981481481529</v>
      </c>
      <c r="B62" s="14">
        <f t="shared" si="5"/>
        <v>0.35682870370370384</v>
      </c>
      <c r="C62" s="14">
        <f t="shared" si="6"/>
        <v>0.35700231481481493</v>
      </c>
      <c r="D62" s="15">
        <f t="shared" si="7"/>
        <v>0.3571180555555557</v>
      </c>
    </row>
    <row r="63" spans="1:4" hidden="1" x14ac:dyDescent="0.25">
      <c r="A63" s="13">
        <f t="shared" si="4"/>
        <v>0.35711805555555604</v>
      </c>
      <c r="B63" s="14">
        <f t="shared" si="5"/>
        <v>0.35850694444444459</v>
      </c>
      <c r="C63" s="14">
        <f t="shared" si="6"/>
        <v>0.35868055555555567</v>
      </c>
      <c r="D63" s="15">
        <f t="shared" si="7"/>
        <v>0.35879629629629645</v>
      </c>
    </row>
    <row r="64" spans="1:4" hidden="1" x14ac:dyDescent="0.25">
      <c r="A64" s="13">
        <f t="shared" si="4"/>
        <v>0.35879629629629678</v>
      </c>
      <c r="B64" s="14">
        <f t="shared" si="5"/>
        <v>0.36018518518518533</v>
      </c>
      <c r="C64" s="14">
        <f t="shared" si="6"/>
        <v>0.36035879629629641</v>
      </c>
      <c r="D64" s="15">
        <f t="shared" si="7"/>
        <v>0.36047453703703719</v>
      </c>
    </row>
    <row r="65" spans="1:4" hidden="1" x14ac:dyDescent="0.25">
      <c r="A65" s="13">
        <f t="shared" si="4"/>
        <v>0.36047453703703752</v>
      </c>
      <c r="B65" s="14">
        <f t="shared" si="5"/>
        <v>0.36186342592592607</v>
      </c>
      <c r="C65" s="14">
        <f t="shared" si="6"/>
        <v>0.36203703703703716</v>
      </c>
      <c r="D65" s="15">
        <f t="shared" si="7"/>
        <v>0.36215277777777793</v>
      </c>
    </row>
    <row r="66" spans="1:4" hidden="1" x14ac:dyDescent="0.25">
      <c r="A66" s="13">
        <f t="shared" si="4"/>
        <v>0.36215277777777827</v>
      </c>
      <c r="B66" s="14">
        <f t="shared" si="5"/>
        <v>0.36354166666666682</v>
      </c>
      <c r="C66" s="14">
        <f t="shared" si="6"/>
        <v>0.3637152777777779</v>
      </c>
      <c r="D66" s="15">
        <f t="shared" si="7"/>
        <v>0.36383101851851868</v>
      </c>
    </row>
    <row r="67" spans="1:4" hidden="1" x14ac:dyDescent="0.25">
      <c r="A67" s="13">
        <f t="shared" si="4"/>
        <v>0.36383101851851901</v>
      </c>
      <c r="B67" s="14">
        <f t="shared" si="5"/>
        <v>0.36521990740740756</v>
      </c>
      <c r="C67" s="14">
        <f t="shared" si="6"/>
        <v>0.36539351851851865</v>
      </c>
      <c r="D67" s="15">
        <f t="shared" si="7"/>
        <v>0.36550925925925942</v>
      </c>
    </row>
    <row r="68" spans="1:4" hidden="1" x14ac:dyDescent="0.25">
      <c r="A68" s="13">
        <f t="shared" si="4"/>
        <v>0.36550925925925976</v>
      </c>
      <c r="B68" s="14">
        <f t="shared" si="5"/>
        <v>0.36689814814814831</v>
      </c>
      <c r="C68" s="14">
        <f t="shared" si="6"/>
        <v>0.36707175925925939</v>
      </c>
      <c r="D68" s="15">
        <f t="shared" si="7"/>
        <v>0.36718750000000017</v>
      </c>
    </row>
    <row r="69" spans="1:4" hidden="1" x14ac:dyDescent="0.25">
      <c r="A69" s="13">
        <f t="shared" si="4"/>
        <v>0.3671875000000005</v>
      </c>
      <c r="B69" s="14">
        <f t="shared" si="5"/>
        <v>0.36857638888888905</v>
      </c>
      <c r="C69" s="14">
        <f t="shared" si="6"/>
        <v>0.36875000000000013</v>
      </c>
      <c r="D69" s="15">
        <f t="shared" si="7"/>
        <v>0.36886574074074091</v>
      </c>
    </row>
    <row r="70" spans="1:4" hidden="1" x14ac:dyDescent="0.25">
      <c r="A70" s="13">
        <f t="shared" si="4"/>
        <v>0.36886574074074124</v>
      </c>
      <c r="B70" s="14">
        <f t="shared" si="5"/>
        <v>0.37025462962962979</v>
      </c>
      <c r="C70" s="14">
        <f t="shared" si="6"/>
        <v>0.37042824074074088</v>
      </c>
      <c r="D70" s="15">
        <f t="shared" si="7"/>
        <v>0.37054398148148165</v>
      </c>
    </row>
    <row r="71" spans="1:4" hidden="1" x14ac:dyDescent="0.25">
      <c r="A71" s="13">
        <f t="shared" si="4"/>
        <v>0.37054398148148199</v>
      </c>
      <c r="B71" s="14">
        <f t="shared" si="5"/>
        <v>0.37193287037037054</v>
      </c>
      <c r="C71" s="14">
        <f t="shared" si="6"/>
        <v>0.37210648148148162</v>
      </c>
      <c r="D71" s="15">
        <f t="shared" si="7"/>
        <v>0.3722222222222224</v>
      </c>
    </row>
    <row r="72" spans="1:4" hidden="1" x14ac:dyDescent="0.25">
      <c r="A72" s="13">
        <f t="shared" si="4"/>
        <v>0.37222222222222273</v>
      </c>
      <c r="B72" s="14">
        <f t="shared" si="5"/>
        <v>0.37361111111111128</v>
      </c>
      <c r="C72" s="14">
        <f t="shared" si="6"/>
        <v>0.37378472222222237</v>
      </c>
      <c r="D72" s="15">
        <f t="shared" si="7"/>
        <v>0.37390046296296314</v>
      </c>
    </row>
    <row r="73" spans="1:4" hidden="1" x14ac:dyDescent="0.25">
      <c r="A73" s="13">
        <f t="shared" si="4"/>
        <v>0.37390046296296348</v>
      </c>
      <c r="B73" s="14">
        <f t="shared" si="5"/>
        <v>0.37528935185185203</v>
      </c>
      <c r="C73" s="14">
        <f t="shared" si="6"/>
        <v>0.37546296296296311</v>
      </c>
      <c r="D73" s="15">
        <f t="shared" si="7"/>
        <v>0.37557870370370389</v>
      </c>
    </row>
    <row r="74" spans="1:4" hidden="1" x14ac:dyDescent="0.25">
      <c r="A74" s="13">
        <f t="shared" si="4"/>
        <v>0.37557870370370422</v>
      </c>
      <c r="B74" s="14">
        <f t="shared" si="5"/>
        <v>0.37696759259259277</v>
      </c>
      <c r="C74" s="14">
        <f t="shared" si="6"/>
        <v>0.37714120370370385</v>
      </c>
      <c r="D74" s="15">
        <f t="shared" si="7"/>
        <v>0.37725694444444463</v>
      </c>
    </row>
    <row r="75" spans="1:4" hidden="1" x14ac:dyDescent="0.25">
      <c r="A75" s="13">
        <f t="shared" si="4"/>
        <v>0.37725694444444496</v>
      </c>
      <c r="B75" s="14">
        <f t="shared" si="5"/>
        <v>0.37864583333333351</v>
      </c>
      <c r="C75" s="14">
        <f t="shared" si="6"/>
        <v>0.3788194444444446</v>
      </c>
      <c r="D75" s="15">
        <f t="shared" si="7"/>
        <v>0.37893518518518537</v>
      </c>
    </row>
    <row r="76" spans="1:4" hidden="1" x14ac:dyDescent="0.25">
      <c r="A76" s="13">
        <f t="shared" si="4"/>
        <v>0.37893518518518571</v>
      </c>
      <c r="B76" s="14">
        <f t="shared" si="5"/>
        <v>0.38032407407407426</v>
      </c>
      <c r="C76" s="14">
        <f t="shared" si="6"/>
        <v>0.38049768518518534</v>
      </c>
      <c r="D76" s="15">
        <f t="shared" si="7"/>
        <v>0.38061342592592612</v>
      </c>
    </row>
    <row r="77" spans="1:4" hidden="1" x14ac:dyDescent="0.25">
      <c r="A77" s="13">
        <f t="shared" si="4"/>
        <v>0.38061342592592645</v>
      </c>
      <c r="B77" s="14">
        <f t="shared" si="5"/>
        <v>0.382002314814815</v>
      </c>
      <c r="C77" s="14">
        <f t="shared" si="6"/>
        <v>0.38217592592592609</v>
      </c>
      <c r="D77" s="15">
        <f t="shared" si="7"/>
        <v>0.38229166666666686</v>
      </c>
    </row>
    <row r="78" spans="1:4" hidden="1" x14ac:dyDescent="0.25">
      <c r="A78" s="13">
        <f t="shared" si="4"/>
        <v>0.3822916666666672</v>
      </c>
      <c r="B78" s="14">
        <f t="shared" si="5"/>
        <v>0.38368055555555575</v>
      </c>
      <c r="C78" s="14">
        <f t="shared" si="6"/>
        <v>0.38385416666666683</v>
      </c>
      <c r="D78" s="15">
        <f t="shared" si="7"/>
        <v>0.38396990740740761</v>
      </c>
    </row>
    <row r="79" spans="1:4" hidden="1" x14ac:dyDescent="0.25">
      <c r="A79" s="13">
        <f t="shared" si="4"/>
        <v>0.38396990740740794</v>
      </c>
      <c r="B79" s="14">
        <f t="shared" si="5"/>
        <v>0.38535879629629649</v>
      </c>
      <c r="C79" s="14">
        <f t="shared" si="6"/>
        <v>0.38553240740740757</v>
      </c>
      <c r="D79" s="15">
        <f t="shared" si="7"/>
        <v>0.38564814814814835</v>
      </c>
    </row>
    <row r="80" spans="1:4" hidden="1" x14ac:dyDescent="0.25">
      <c r="A80" s="13">
        <f t="shared" si="4"/>
        <v>0.38564814814814868</v>
      </c>
      <c r="B80" s="14">
        <f t="shared" si="5"/>
        <v>0.38703703703703723</v>
      </c>
      <c r="C80" s="14">
        <f t="shared" si="6"/>
        <v>0.38721064814814832</v>
      </c>
      <c r="D80" s="15">
        <f t="shared" si="7"/>
        <v>0.38732638888888909</v>
      </c>
    </row>
    <row r="81" spans="1:4" hidden="1" x14ac:dyDescent="0.25">
      <c r="A81" s="13">
        <f t="shared" si="4"/>
        <v>0.38732638888888943</v>
      </c>
      <c r="B81" s="14">
        <f t="shared" si="5"/>
        <v>0.38871527777777798</v>
      </c>
      <c r="C81" s="14">
        <f t="shared" si="6"/>
        <v>0.38888888888888906</v>
      </c>
      <c r="D81" s="15">
        <f t="shared" si="7"/>
        <v>0.38900462962962984</v>
      </c>
    </row>
    <row r="82" spans="1:4" hidden="1" x14ac:dyDescent="0.25">
      <c r="A82" s="13">
        <f t="shared" si="4"/>
        <v>0.38900462962963017</v>
      </c>
      <c r="B82" s="14">
        <f t="shared" si="5"/>
        <v>0.39039351851851872</v>
      </c>
      <c r="C82" s="14">
        <f t="shared" si="6"/>
        <v>0.39056712962962981</v>
      </c>
      <c r="D82" s="15">
        <f t="shared" si="7"/>
        <v>0.39068287037037058</v>
      </c>
    </row>
    <row r="83" spans="1:4" hidden="1" x14ac:dyDescent="0.25">
      <c r="A83" s="13">
        <f t="shared" si="4"/>
        <v>0.39068287037037092</v>
      </c>
      <c r="B83" s="14">
        <f t="shared" si="5"/>
        <v>0.39207175925925947</v>
      </c>
      <c r="C83" s="14">
        <f t="shared" si="6"/>
        <v>0.39224537037037055</v>
      </c>
      <c r="D83" s="15">
        <f t="shared" si="7"/>
        <v>0.39236111111111133</v>
      </c>
    </row>
    <row r="84" spans="1:4" hidden="1" x14ac:dyDescent="0.25">
      <c r="A84" s="13">
        <f t="shared" si="4"/>
        <v>0.39236111111111166</v>
      </c>
      <c r="B84" s="14">
        <f t="shared" si="5"/>
        <v>0.39375000000000021</v>
      </c>
      <c r="C84" s="14">
        <f t="shared" si="6"/>
        <v>0.39392361111111129</v>
      </c>
      <c r="D84" s="15">
        <f t="shared" si="7"/>
        <v>0.39403935185185207</v>
      </c>
    </row>
    <row r="85" spans="1:4" hidden="1" x14ac:dyDescent="0.25">
      <c r="A85" s="13">
        <f t="shared" si="4"/>
        <v>0.3940393518518524</v>
      </c>
      <c r="B85" s="14">
        <f t="shared" si="5"/>
        <v>0.39542824074074095</v>
      </c>
      <c r="C85" s="14">
        <f t="shared" si="6"/>
        <v>0.39560185185185204</v>
      </c>
      <c r="D85" s="15">
        <f t="shared" si="7"/>
        <v>0.39571759259259282</v>
      </c>
    </row>
    <row r="86" spans="1:4" hidden="1" x14ac:dyDescent="0.25">
      <c r="A86" s="13">
        <f t="shared" si="4"/>
        <v>0.39571759259259315</v>
      </c>
      <c r="B86" s="14">
        <f t="shared" si="5"/>
        <v>0.3971064814814817</v>
      </c>
      <c r="C86" s="14">
        <f t="shared" si="6"/>
        <v>0.39728009259259278</v>
      </c>
      <c r="D86" s="15">
        <f t="shared" si="7"/>
        <v>0.39739583333333356</v>
      </c>
    </row>
    <row r="87" spans="1:4" hidden="1" x14ac:dyDescent="0.25">
      <c r="A87" s="13">
        <f t="shared" si="4"/>
        <v>0.39739583333333389</v>
      </c>
      <c r="B87" s="14">
        <f t="shared" si="5"/>
        <v>0.39878472222222244</v>
      </c>
      <c r="C87" s="14">
        <f t="shared" si="6"/>
        <v>0.39895833333333353</v>
      </c>
      <c r="D87" s="15">
        <f t="shared" si="7"/>
        <v>0.3990740740740743</v>
      </c>
    </row>
    <row r="88" spans="1:4" hidden="1" x14ac:dyDescent="0.25">
      <c r="A88" s="13">
        <f t="shared" si="4"/>
        <v>0.39907407407407464</v>
      </c>
      <c r="B88" s="14">
        <f t="shared" si="5"/>
        <v>0.40046296296296319</v>
      </c>
      <c r="C88" s="14">
        <f t="shared" si="6"/>
        <v>0.40063657407407427</v>
      </c>
      <c r="D88" s="15">
        <f t="shared" si="7"/>
        <v>0.40075231481481505</v>
      </c>
    </row>
    <row r="89" spans="1:4" hidden="1" x14ac:dyDescent="0.25">
      <c r="A89" s="13">
        <f t="shared" ref="A89:A120" si="8">A88+$D$23</f>
        <v>0.40075231481481538</v>
      </c>
      <c r="B89" s="14">
        <f t="shared" ref="B89:B120" si="9">B88+$D$23</f>
        <v>0.40214120370370393</v>
      </c>
      <c r="C89" s="14">
        <f t="shared" ref="C89:C120" si="10">C88+$D$23</f>
        <v>0.40231481481481501</v>
      </c>
      <c r="D89" s="15">
        <f t="shared" ref="D89:D120" si="11">D88+$D$23</f>
        <v>0.40243055555555579</v>
      </c>
    </row>
    <row r="90" spans="1:4" hidden="1" x14ac:dyDescent="0.25">
      <c r="A90" s="13">
        <f t="shared" si="8"/>
        <v>0.40243055555555612</v>
      </c>
      <c r="B90" s="14">
        <f t="shared" si="9"/>
        <v>0.40381944444444468</v>
      </c>
      <c r="C90" s="14">
        <f t="shared" si="10"/>
        <v>0.40399305555555576</v>
      </c>
      <c r="D90" s="15">
        <f t="shared" si="11"/>
        <v>0.40410879629629654</v>
      </c>
    </row>
    <row r="91" spans="1:4" hidden="1" x14ac:dyDescent="0.25">
      <c r="A91" s="13">
        <f t="shared" si="8"/>
        <v>0.40410879629629687</v>
      </c>
      <c r="B91" s="14">
        <f t="shared" si="9"/>
        <v>0.40549768518518542</v>
      </c>
      <c r="C91" s="14">
        <f t="shared" si="10"/>
        <v>0.4056712962962965</v>
      </c>
      <c r="D91" s="15">
        <f t="shared" si="11"/>
        <v>0.40578703703703728</v>
      </c>
    </row>
    <row r="92" spans="1:4" hidden="1" x14ac:dyDescent="0.25">
      <c r="A92" s="13">
        <f t="shared" si="8"/>
        <v>0.40578703703703761</v>
      </c>
      <c r="B92" s="14">
        <f t="shared" si="9"/>
        <v>0.40717592592592616</v>
      </c>
      <c r="C92" s="14">
        <f t="shared" si="10"/>
        <v>0.40734953703703725</v>
      </c>
      <c r="D92" s="15">
        <f t="shared" si="11"/>
        <v>0.40746527777777802</v>
      </c>
    </row>
    <row r="93" spans="1:4" hidden="1" x14ac:dyDescent="0.25">
      <c r="A93" s="13">
        <f t="shared" si="8"/>
        <v>0.40746527777777836</v>
      </c>
      <c r="B93" s="14">
        <f t="shared" si="9"/>
        <v>0.40885416666666691</v>
      </c>
      <c r="C93" s="14">
        <f t="shared" si="10"/>
        <v>0.40902777777777799</v>
      </c>
      <c r="D93" s="15">
        <f t="shared" si="11"/>
        <v>0.40914351851851877</v>
      </c>
    </row>
    <row r="94" spans="1:4" hidden="1" x14ac:dyDescent="0.25">
      <c r="A94" s="13">
        <f t="shared" si="8"/>
        <v>0.4091435185185191</v>
      </c>
      <c r="B94" s="14">
        <f t="shared" si="9"/>
        <v>0.41053240740740765</v>
      </c>
      <c r="C94" s="14">
        <f t="shared" si="10"/>
        <v>0.41070601851851873</v>
      </c>
      <c r="D94" s="15">
        <f t="shared" si="11"/>
        <v>0.41082175925925951</v>
      </c>
    </row>
    <row r="95" spans="1:4" hidden="1" x14ac:dyDescent="0.25">
      <c r="A95" s="13">
        <f t="shared" si="8"/>
        <v>0.41082175925925984</v>
      </c>
      <c r="B95" s="14">
        <f t="shared" si="9"/>
        <v>0.4122106481481484</v>
      </c>
      <c r="C95" s="14">
        <f t="shared" si="10"/>
        <v>0.41238425925925948</v>
      </c>
      <c r="D95" s="15">
        <f t="shared" si="11"/>
        <v>0.41250000000000026</v>
      </c>
    </row>
    <row r="96" spans="1:4" hidden="1" x14ac:dyDescent="0.25">
      <c r="A96" s="13">
        <f t="shared" si="8"/>
        <v>0.41250000000000059</v>
      </c>
      <c r="B96" s="14">
        <f t="shared" si="9"/>
        <v>0.41388888888888914</v>
      </c>
      <c r="C96" s="14">
        <f t="shared" si="10"/>
        <v>0.41406250000000022</v>
      </c>
      <c r="D96" s="15">
        <f t="shared" si="11"/>
        <v>0.414178240740741</v>
      </c>
    </row>
    <row r="97" spans="1:4" hidden="1" x14ac:dyDescent="0.25">
      <c r="A97" s="13">
        <f t="shared" si="8"/>
        <v>0.41417824074074133</v>
      </c>
      <c r="B97" s="14">
        <f t="shared" si="9"/>
        <v>0.41556712962962988</v>
      </c>
      <c r="C97" s="14">
        <f t="shared" si="10"/>
        <v>0.41574074074074097</v>
      </c>
      <c r="D97" s="15">
        <f t="shared" si="11"/>
        <v>0.41585648148148174</v>
      </c>
    </row>
    <row r="98" spans="1:4" hidden="1" x14ac:dyDescent="0.25">
      <c r="A98" s="13">
        <f t="shared" si="8"/>
        <v>0.41585648148148208</v>
      </c>
      <c r="B98" s="14">
        <f t="shared" si="9"/>
        <v>0.41724537037037063</v>
      </c>
      <c r="C98" s="14">
        <f t="shared" si="10"/>
        <v>0.41741898148148171</v>
      </c>
      <c r="D98" s="15">
        <f t="shared" si="11"/>
        <v>0.41753472222222249</v>
      </c>
    </row>
    <row r="99" spans="1:4" hidden="1" x14ac:dyDescent="0.25">
      <c r="A99" s="13">
        <f t="shared" si="8"/>
        <v>0.41753472222222282</v>
      </c>
      <c r="B99" s="14">
        <f t="shared" si="9"/>
        <v>0.41892361111111137</v>
      </c>
      <c r="C99" s="14">
        <f t="shared" si="10"/>
        <v>0.41909722222222245</v>
      </c>
      <c r="D99" s="15">
        <f t="shared" si="11"/>
        <v>0.41921296296296323</v>
      </c>
    </row>
    <row r="100" spans="1:4" hidden="1" x14ac:dyDescent="0.25">
      <c r="A100" s="13">
        <f t="shared" si="8"/>
        <v>0.41921296296296356</v>
      </c>
      <c r="B100" s="14">
        <f t="shared" si="9"/>
        <v>0.42060185185185212</v>
      </c>
      <c r="C100" s="14">
        <f t="shared" si="10"/>
        <v>0.4207754629629632</v>
      </c>
      <c r="D100" s="15">
        <f t="shared" si="11"/>
        <v>0.42089120370370398</v>
      </c>
    </row>
    <row r="101" spans="1:4" hidden="1" x14ac:dyDescent="0.25">
      <c r="A101" s="13">
        <f t="shared" si="8"/>
        <v>0.42089120370370431</v>
      </c>
      <c r="B101" s="14">
        <f t="shared" si="9"/>
        <v>0.42228009259259286</v>
      </c>
      <c r="C101" s="14">
        <f t="shared" si="10"/>
        <v>0.42245370370370394</v>
      </c>
      <c r="D101" s="15">
        <f t="shared" si="11"/>
        <v>0.42256944444444472</v>
      </c>
    </row>
    <row r="102" spans="1:4" hidden="1" x14ac:dyDescent="0.25">
      <c r="A102" s="13">
        <f t="shared" si="8"/>
        <v>0.42256944444444505</v>
      </c>
      <c r="B102" s="14">
        <f t="shared" si="9"/>
        <v>0.4239583333333336</v>
      </c>
      <c r="C102" s="14">
        <f t="shared" si="10"/>
        <v>0.42413194444444469</v>
      </c>
      <c r="D102" s="15">
        <f t="shared" si="11"/>
        <v>0.42424768518518546</v>
      </c>
    </row>
    <row r="103" spans="1:4" hidden="1" x14ac:dyDescent="0.25">
      <c r="A103" s="13">
        <f t="shared" si="8"/>
        <v>0.4242476851851858</v>
      </c>
      <c r="B103" s="14">
        <f t="shared" si="9"/>
        <v>0.42563657407407435</v>
      </c>
      <c r="C103" s="14">
        <f t="shared" si="10"/>
        <v>0.42581018518518543</v>
      </c>
      <c r="D103" s="15">
        <f t="shared" si="11"/>
        <v>0.42592592592592621</v>
      </c>
    </row>
    <row r="104" spans="1:4" hidden="1" x14ac:dyDescent="0.25">
      <c r="A104" s="13">
        <f t="shared" si="8"/>
        <v>0.42592592592592654</v>
      </c>
      <c r="B104" s="14">
        <f t="shared" si="9"/>
        <v>0.42731481481481509</v>
      </c>
      <c r="C104" s="14">
        <f t="shared" si="10"/>
        <v>0.42748842592592617</v>
      </c>
      <c r="D104" s="15">
        <f t="shared" si="11"/>
        <v>0.42760416666666695</v>
      </c>
    </row>
    <row r="105" spans="1:4" hidden="1" x14ac:dyDescent="0.25">
      <c r="A105" s="13">
        <f t="shared" si="8"/>
        <v>0.42760416666666728</v>
      </c>
      <c r="B105" s="14">
        <f t="shared" si="9"/>
        <v>0.42899305555555584</v>
      </c>
      <c r="C105" s="14">
        <f t="shared" si="10"/>
        <v>0.42916666666666692</v>
      </c>
      <c r="D105" s="15">
        <f t="shared" si="11"/>
        <v>0.4292824074074077</v>
      </c>
    </row>
    <row r="106" spans="1:4" hidden="1" x14ac:dyDescent="0.25">
      <c r="A106" s="13">
        <f t="shared" si="8"/>
        <v>0.42928240740740803</v>
      </c>
      <c r="B106" s="14">
        <f t="shared" si="9"/>
        <v>0.43067129629629658</v>
      </c>
      <c r="C106" s="14">
        <f t="shared" si="10"/>
        <v>0.43084490740740766</v>
      </c>
      <c r="D106" s="15">
        <f t="shared" si="11"/>
        <v>0.43096064814814844</v>
      </c>
    </row>
    <row r="107" spans="1:4" hidden="1" x14ac:dyDescent="0.25">
      <c r="A107" s="13">
        <f t="shared" si="8"/>
        <v>0.43096064814814877</v>
      </c>
      <c r="B107" s="14">
        <f t="shared" si="9"/>
        <v>0.43234953703703732</v>
      </c>
      <c r="C107" s="14">
        <f t="shared" si="10"/>
        <v>0.43252314814814841</v>
      </c>
      <c r="D107" s="15">
        <f t="shared" si="11"/>
        <v>0.43263888888888918</v>
      </c>
    </row>
    <row r="108" spans="1:4" hidden="1" x14ac:dyDescent="0.25">
      <c r="A108" s="13">
        <f t="shared" si="8"/>
        <v>0.43263888888888952</v>
      </c>
      <c r="B108" s="14">
        <f t="shared" si="9"/>
        <v>0.43402777777777807</v>
      </c>
      <c r="C108" s="14">
        <f t="shared" si="10"/>
        <v>0.43420138888888915</v>
      </c>
      <c r="D108" s="15">
        <f t="shared" si="11"/>
        <v>0.43431712962962993</v>
      </c>
    </row>
    <row r="109" spans="1:4" hidden="1" x14ac:dyDescent="0.25">
      <c r="A109" s="13">
        <f t="shared" si="8"/>
        <v>0.43431712962963026</v>
      </c>
      <c r="B109" s="14">
        <f t="shared" si="9"/>
        <v>0.43570601851851881</v>
      </c>
      <c r="C109" s="14">
        <f t="shared" si="10"/>
        <v>0.43587962962962989</v>
      </c>
      <c r="D109" s="15">
        <f t="shared" si="11"/>
        <v>0.43599537037037067</v>
      </c>
    </row>
    <row r="110" spans="1:4" hidden="1" x14ac:dyDescent="0.25">
      <c r="A110" s="13">
        <f t="shared" si="8"/>
        <v>0.435995370370371</v>
      </c>
      <c r="B110" s="14">
        <f t="shared" si="9"/>
        <v>0.43738425925925956</v>
      </c>
      <c r="C110" s="14">
        <f t="shared" si="10"/>
        <v>0.43755787037037064</v>
      </c>
      <c r="D110" s="15">
        <f t="shared" si="11"/>
        <v>0.43767361111111142</v>
      </c>
    </row>
    <row r="111" spans="1:4" hidden="1" x14ac:dyDescent="0.25">
      <c r="A111" s="13">
        <f t="shared" si="8"/>
        <v>0.43767361111111175</v>
      </c>
      <c r="B111" s="14">
        <f t="shared" si="9"/>
        <v>0.4390625000000003</v>
      </c>
      <c r="C111" s="14">
        <f t="shared" si="10"/>
        <v>0.43923611111111138</v>
      </c>
      <c r="D111" s="15">
        <f t="shared" si="11"/>
        <v>0.43935185185185216</v>
      </c>
    </row>
    <row r="112" spans="1:4" hidden="1" x14ac:dyDescent="0.25">
      <c r="A112" s="13">
        <f t="shared" si="8"/>
        <v>0.43935185185185249</v>
      </c>
      <c r="B112" s="14">
        <f t="shared" si="9"/>
        <v>0.44074074074074104</v>
      </c>
      <c r="C112" s="14">
        <f t="shared" si="10"/>
        <v>0.44091435185185213</v>
      </c>
      <c r="D112" s="15">
        <f t="shared" si="11"/>
        <v>0.4410300925925929</v>
      </c>
    </row>
    <row r="113" spans="1:4" hidden="1" x14ac:dyDescent="0.25">
      <c r="A113" s="13">
        <f t="shared" si="8"/>
        <v>0.44103009259259324</v>
      </c>
      <c r="B113" s="14">
        <f t="shared" si="9"/>
        <v>0.44241898148148179</v>
      </c>
      <c r="C113" s="14">
        <f t="shared" si="10"/>
        <v>0.44259259259259287</v>
      </c>
      <c r="D113" s="15">
        <f t="shared" si="11"/>
        <v>0.44270833333333365</v>
      </c>
    </row>
    <row r="114" spans="1:4" hidden="1" x14ac:dyDescent="0.25">
      <c r="A114" s="13">
        <f t="shared" si="8"/>
        <v>0.44270833333333398</v>
      </c>
      <c r="B114" s="14">
        <f t="shared" si="9"/>
        <v>0.44409722222222253</v>
      </c>
      <c r="C114" s="14">
        <f t="shared" si="10"/>
        <v>0.44427083333333361</v>
      </c>
      <c r="D114" s="15">
        <f t="shared" si="11"/>
        <v>0.44438657407407439</v>
      </c>
    </row>
    <row r="115" spans="1:4" hidden="1" x14ac:dyDescent="0.25">
      <c r="A115" s="13">
        <f t="shared" si="8"/>
        <v>0.44438657407407472</v>
      </c>
      <c r="B115" s="14">
        <f t="shared" si="9"/>
        <v>0.44577546296296328</v>
      </c>
      <c r="C115" s="14">
        <f t="shared" si="10"/>
        <v>0.44594907407407436</v>
      </c>
      <c r="D115" s="15">
        <f t="shared" si="11"/>
        <v>0.44606481481481514</v>
      </c>
    </row>
    <row r="116" spans="1:4" hidden="1" x14ac:dyDescent="0.25">
      <c r="A116" s="13">
        <f t="shared" si="8"/>
        <v>0.44606481481481547</v>
      </c>
      <c r="B116" s="14">
        <f t="shared" si="9"/>
        <v>0.44745370370370402</v>
      </c>
      <c r="C116" s="14">
        <f t="shared" si="10"/>
        <v>0.4476273148148151</v>
      </c>
      <c r="D116" s="15">
        <f t="shared" si="11"/>
        <v>0.44774305555555588</v>
      </c>
    </row>
    <row r="117" spans="1:4" hidden="1" x14ac:dyDescent="0.25">
      <c r="A117" s="13">
        <f t="shared" si="8"/>
        <v>0.44774305555555621</v>
      </c>
      <c r="B117" s="14">
        <f t="shared" si="9"/>
        <v>0.44913194444444476</v>
      </c>
      <c r="C117" s="14">
        <f t="shared" si="10"/>
        <v>0.44930555555555585</v>
      </c>
      <c r="D117" s="15">
        <f t="shared" si="11"/>
        <v>0.44942129629629662</v>
      </c>
    </row>
    <row r="118" spans="1:4" hidden="1" x14ac:dyDescent="0.25">
      <c r="A118" s="13">
        <f t="shared" si="8"/>
        <v>0.44942129629629696</v>
      </c>
      <c r="B118" s="14">
        <f t="shared" si="9"/>
        <v>0.45081018518518551</v>
      </c>
      <c r="C118" s="14">
        <f t="shared" si="10"/>
        <v>0.45098379629629659</v>
      </c>
      <c r="D118" s="15">
        <f t="shared" si="11"/>
        <v>0.45109953703703737</v>
      </c>
    </row>
    <row r="119" spans="1:4" hidden="1" x14ac:dyDescent="0.25">
      <c r="A119" s="13">
        <f t="shared" si="8"/>
        <v>0.4510995370370377</v>
      </c>
      <c r="B119" s="14">
        <f t="shared" si="9"/>
        <v>0.45248842592592625</v>
      </c>
      <c r="C119" s="14">
        <f t="shared" si="10"/>
        <v>0.45266203703703733</v>
      </c>
      <c r="D119" s="15">
        <f t="shared" si="11"/>
        <v>0.45277777777777811</v>
      </c>
    </row>
    <row r="120" spans="1:4" hidden="1" x14ac:dyDescent="0.25">
      <c r="A120" s="13">
        <f t="shared" si="8"/>
        <v>0.45277777777777845</v>
      </c>
      <c r="B120" s="14">
        <f t="shared" si="9"/>
        <v>0.454166666666667</v>
      </c>
      <c r="C120" s="14">
        <f t="shared" si="10"/>
        <v>0.45434027777777808</v>
      </c>
      <c r="D120" s="15">
        <f t="shared" si="11"/>
        <v>0.45445601851851886</v>
      </c>
    </row>
    <row r="121" spans="1:4" hidden="1" x14ac:dyDescent="0.25">
      <c r="A121" s="13">
        <f t="shared" ref="A121:A152" si="12">A120+$D$23</f>
        <v>0.45445601851851919</v>
      </c>
      <c r="B121" s="14">
        <f t="shared" ref="B121:B152" si="13">B120+$D$23</f>
        <v>0.45584490740740774</v>
      </c>
      <c r="C121" s="14">
        <f t="shared" ref="C121:C152" si="14">C120+$D$23</f>
        <v>0.45601851851851882</v>
      </c>
      <c r="D121" s="15">
        <f t="shared" ref="D121:D152" si="15">D120+$D$23</f>
        <v>0.4561342592592596</v>
      </c>
    </row>
    <row r="122" spans="1:4" hidden="1" x14ac:dyDescent="0.25">
      <c r="A122" s="13">
        <f t="shared" si="12"/>
        <v>0.45613425925925993</v>
      </c>
      <c r="B122" s="14">
        <f t="shared" si="13"/>
        <v>0.45752314814814848</v>
      </c>
      <c r="C122" s="14">
        <f t="shared" si="14"/>
        <v>0.45769675925925957</v>
      </c>
      <c r="D122" s="15">
        <f t="shared" si="15"/>
        <v>0.45781250000000034</v>
      </c>
    </row>
    <row r="123" spans="1:4" hidden="1" x14ac:dyDescent="0.25">
      <c r="A123" s="13">
        <f t="shared" si="12"/>
        <v>0.45781250000000068</v>
      </c>
      <c r="B123" s="14">
        <f t="shared" si="13"/>
        <v>0.45920138888888923</v>
      </c>
      <c r="C123" s="14">
        <f t="shared" si="14"/>
        <v>0.45937500000000031</v>
      </c>
      <c r="D123" s="15">
        <f t="shared" si="15"/>
        <v>0.45949074074074109</v>
      </c>
    </row>
    <row r="124" spans="1:4" hidden="1" x14ac:dyDescent="0.25">
      <c r="A124" s="13">
        <f t="shared" si="12"/>
        <v>0.45949074074074142</v>
      </c>
      <c r="B124" s="14">
        <f t="shared" si="13"/>
        <v>0.46087962962962997</v>
      </c>
      <c r="C124" s="14">
        <f t="shared" si="14"/>
        <v>0.46105324074074105</v>
      </c>
      <c r="D124" s="15">
        <f t="shared" si="15"/>
        <v>0.46116898148148183</v>
      </c>
    </row>
    <row r="125" spans="1:4" hidden="1" x14ac:dyDescent="0.25">
      <c r="A125" s="13">
        <f t="shared" si="12"/>
        <v>0.46116898148148217</v>
      </c>
      <c r="B125" s="14">
        <f t="shared" si="13"/>
        <v>0.46255787037037072</v>
      </c>
      <c r="C125" s="14">
        <f t="shared" si="14"/>
        <v>0.4627314814814818</v>
      </c>
      <c r="D125" s="15">
        <f t="shared" si="15"/>
        <v>0.46284722222222258</v>
      </c>
    </row>
    <row r="126" spans="1:4" hidden="1" x14ac:dyDescent="0.25">
      <c r="A126" s="13">
        <f t="shared" si="12"/>
        <v>0.46284722222222291</v>
      </c>
      <c r="B126" s="14">
        <f t="shared" si="13"/>
        <v>0.46423611111111146</v>
      </c>
      <c r="C126" s="14">
        <f t="shared" si="14"/>
        <v>0.46440972222222254</v>
      </c>
      <c r="D126" s="15">
        <f t="shared" si="15"/>
        <v>0.46452546296296332</v>
      </c>
    </row>
    <row r="127" spans="1:4" hidden="1" x14ac:dyDescent="0.25">
      <c r="A127" s="13">
        <f t="shared" si="12"/>
        <v>0.46452546296296365</v>
      </c>
      <c r="B127" s="14">
        <f t="shared" si="13"/>
        <v>0.4659143518518522</v>
      </c>
      <c r="C127" s="14">
        <f t="shared" si="14"/>
        <v>0.46608796296296329</v>
      </c>
      <c r="D127" s="15">
        <f t="shared" si="15"/>
        <v>0.46620370370370406</v>
      </c>
    </row>
    <row r="128" spans="1:4" hidden="1" x14ac:dyDescent="0.25">
      <c r="A128" s="13">
        <f t="shared" si="12"/>
        <v>0.4662037037037044</v>
      </c>
      <c r="B128" s="14">
        <f t="shared" si="13"/>
        <v>0.46759259259259295</v>
      </c>
      <c r="C128" s="14">
        <f t="shared" si="14"/>
        <v>0.46776620370370403</v>
      </c>
      <c r="D128" s="15">
        <f t="shared" si="15"/>
        <v>0.46788194444444481</v>
      </c>
    </row>
    <row r="129" spans="1:4" hidden="1" x14ac:dyDescent="0.25">
      <c r="A129" s="13">
        <f t="shared" si="12"/>
        <v>0.46788194444444514</v>
      </c>
      <c r="B129" s="14">
        <f t="shared" si="13"/>
        <v>0.46927083333333369</v>
      </c>
      <c r="C129" s="14">
        <f t="shared" si="14"/>
        <v>0.46944444444444478</v>
      </c>
      <c r="D129" s="15">
        <f t="shared" si="15"/>
        <v>0.46956018518518555</v>
      </c>
    </row>
    <row r="130" spans="1:4" hidden="1" x14ac:dyDescent="0.25">
      <c r="A130" s="13">
        <f t="shared" si="12"/>
        <v>0.46956018518518589</v>
      </c>
      <c r="B130" s="14">
        <f t="shared" si="13"/>
        <v>0.47094907407407444</v>
      </c>
      <c r="C130" s="14">
        <f t="shared" si="14"/>
        <v>0.47112268518518552</v>
      </c>
      <c r="D130" s="15">
        <f t="shared" si="15"/>
        <v>0.4712384259259263</v>
      </c>
    </row>
    <row r="131" spans="1:4" hidden="1" x14ac:dyDescent="0.25">
      <c r="A131" s="13">
        <f t="shared" si="12"/>
        <v>0.47123842592592663</v>
      </c>
      <c r="B131" s="14">
        <f t="shared" si="13"/>
        <v>0.47262731481481518</v>
      </c>
      <c r="C131" s="14">
        <f t="shared" si="14"/>
        <v>0.47280092592592626</v>
      </c>
      <c r="D131" s="15">
        <f t="shared" si="15"/>
        <v>0.47291666666666704</v>
      </c>
    </row>
    <row r="132" spans="1:4" hidden="1" x14ac:dyDescent="0.25">
      <c r="A132" s="13">
        <f t="shared" si="12"/>
        <v>0.47291666666666737</v>
      </c>
      <c r="B132" s="14">
        <f t="shared" si="13"/>
        <v>0.47430555555555592</v>
      </c>
      <c r="C132" s="14">
        <f t="shared" si="14"/>
        <v>0.47447916666666701</v>
      </c>
      <c r="D132" s="15">
        <f t="shared" si="15"/>
        <v>0.47459490740740778</v>
      </c>
    </row>
    <row r="133" spans="1:4" hidden="1" x14ac:dyDescent="0.25">
      <c r="A133" s="13">
        <f t="shared" si="12"/>
        <v>0.47459490740740812</v>
      </c>
      <c r="B133" s="14">
        <f t="shared" si="13"/>
        <v>0.47598379629629667</v>
      </c>
      <c r="C133" s="14">
        <f t="shared" si="14"/>
        <v>0.47615740740740775</v>
      </c>
      <c r="D133" s="15">
        <f t="shared" si="15"/>
        <v>0.47627314814814853</v>
      </c>
    </row>
    <row r="134" spans="1:4" hidden="1" x14ac:dyDescent="0.25">
      <c r="A134" s="13">
        <f t="shared" si="12"/>
        <v>0.47627314814814886</v>
      </c>
      <c r="B134" s="14">
        <f t="shared" si="13"/>
        <v>0.47766203703703741</v>
      </c>
      <c r="C134" s="14">
        <f t="shared" si="14"/>
        <v>0.4778356481481485</v>
      </c>
      <c r="D134" s="15">
        <f t="shared" si="15"/>
        <v>0.47795138888888927</v>
      </c>
    </row>
    <row r="135" spans="1:4" hidden="1" x14ac:dyDescent="0.25">
      <c r="A135" s="13">
        <f t="shared" si="12"/>
        <v>0.47795138888888961</v>
      </c>
      <c r="B135" s="14">
        <f t="shared" si="13"/>
        <v>0.47934027777777816</v>
      </c>
      <c r="C135" s="14">
        <f t="shared" si="14"/>
        <v>0.47951388888888924</v>
      </c>
      <c r="D135" s="15">
        <f t="shared" si="15"/>
        <v>0.47962962962963002</v>
      </c>
    </row>
    <row r="136" spans="1:4" hidden="1" x14ac:dyDescent="0.25">
      <c r="A136" s="13">
        <f t="shared" si="12"/>
        <v>0.47962962962963035</v>
      </c>
      <c r="B136" s="14">
        <f t="shared" si="13"/>
        <v>0.4810185185185189</v>
      </c>
      <c r="C136" s="14">
        <f t="shared" si="14"/>
        <v>0.48119212962962998</v>
      </c>
      <c r="D136" s="15">
        <f t="shared" si="15"/>
        <v>0.48130787037037076</v>
      </c>
    </row>
    <row r="137" spans="1:4" hidden="1" x14ac:dyDescent="0.25">
      <c r="A137" s="13">
        <f t="shared" si="12"/>
        <v>0.48130787037037109</v>
      </c>
      <c r="B137" s="14">
        <f t="shared" si="13"/>
        <v>0.48269675925925964</v>
      </c>
      <c r="C137" s="14">
        <f t="shared" si="14"/>
        <v>0.48287037037037073</v>
      </c>
      <c r="D137" s="15">
        <f t="shared" si="15"/>
        <v>0.4829861111111115</v>
      </c>
    </row>
    <row r="138" spans="1:4" hidden="1" x14ac:dyDescent="0.25">
      <c r="A138" s="13">
        <f t="shared" si="12"/>
        <v>0.48298611111111184</v>
      </c>
      <c r="B138" s="14">
        <f t="shared" si="13"/>
        <v>0.48437500000000039</v>
      </c>
      <c r="C138" s="14">
        <f t="shared" si="14"/>
        <v>0.48454861111111147</v>
      </c>
      <c r="D138" s="15">
        <f t="shared" si="15"/>
        <v>0.48466435185185225</v>
      </c>
    </row>
    <row r="139" spans="1:4" hidden="1" x14ac:dyDescent="0.25">
      <c r="A139" s="13">
        <f t="shared" si="12"/>
        <v>0.48466435185185258</v>
      </c>
      <c r="B139" s="14">
        <f t="shared" si="13"/>
        <v>0.48605324074074113</v>
      </c>
      <c r="C139" s="14">
        <f t="shared" si="14"/>
        <v>0.48622685185185222</v>
      </c>
      <c r="D139" s="15">
        <f t="shared" si="15"/>
        <v>0.48634259259259299</v>
      </c>
    </row>
    <row r="140" spans="1:4" hidden="1" x14ac:dyDescent="0.25">
      <c r="A140" s="13">
        <f t="shared" si="12"/>
        <v>0.48634259259259333</v>
      </c>
      <c r="B140" s="14">
        <f t="shared" si="13"/>
        <v>0.48773148148148188</v>
      </c>
      <c r="C140" s="14">
        <f t="shared" si="14"/>
        <v>0.48790509259259296</v>
      </c>
      <c r="D140" s="15">
        <f t="shared" si="15"/>
        <v>0.48802083333333374</v>
      </c>
    </row>
    <row r="141" spans="1:4" hidden="1" x14ac:dyDescent="0.25">
      <c r="A141" s="13">
        <f t="shared" si="12"/>
        <v>0.48802083333333407</v>
      </c>
      <c r="B141" s="14">
        <f t="shared" si="13"/>
        <v>0.48940972222222262</v>
      </c>
      <c r="C141" s="14">
        <f t="shared" si="14"/>
        <v>0.4895833333333337</v>
      </c>
      <c r="D141" s="15">
        <f t="shared" si="15"/>
        <v>0.48969907407407448</v>
      </c>
    </row>
    <row r="142" spans="1:4" hidden="1" x14ac:dyDescent="0.25">
      <c r="A142" s="13">
        <f t="shared" si="12"/>
        <v>0.48969907407407481</v>
      </c>
      <c r="B142" s="14">
        <f t="shared" si="13"/>
        <v>0.49108796296296336</v>
      </c>
      <c r="C142" s="14">
        <f t="shared" si="14"/>
        <v>0.49126157407407445</v>
      </c>
      <c r="D142" s="15">
        <f t="shared" si="15"/>
        <v>0.49137731481481522</v>
      </c>
    </row>
    <row r="143" spans="1:4" hidden="1" x14ac:dyDescent="0.25">
      <c r="A143" s="13">
        <f t="shared" si="12"/>
        <v>0.49137731481481556</v>
      </c>
      <c r="B143" s="14">
        <f t="shared" si="13"/>
        <v>0.49276620370370411</v>
      </c>
      <c r="C143" s="14">
        <f t="shared" si="14"/>
        <v>0.49293981481481519</v>
      </c>
      <c r="D143" s="15">
        <f t="shared" si="15"/>
        <v>0.49305555555555597</v>
      </c>
    </row>
    <row r="144" spans="1:4" hidden="1" x14ac:dyDescent="0.25">
      <c r="A144" s="13">
        <f t="shared" si="12"/>
        <v>0.4930555555555563</v>
      </c>
      <c r="B144" s="14">
        <f t="shared" si="13"/>
        <v>0.49444444444444485</v>
      </c>
      <c r="C144" s="14">
        <f t="shared" si="14"/>
        <v>0.49461805555555594</v>
      </c>
      <c r="D144" s="15">
        <f t="shared" si="15"/>
        <v>0.49473379629629671</v>
      </c>
    </row>
    <row r="145" spans="1:4" hidden="1" x14ac:dyDescent="0.25">
      <c r="A145" s="13">
        <f t="shared" si="12"/>
        <v>0.49473379629629705</v>
      </c>
      <c r="B145" s="14">
        <f t="shared" si="13"/>
        <v>0.4961226851851856</v>
      </c>
      <c r="C145" s="14">
        <f t="shared" si="14"/>
        <v>0.49629629629629668</v>
      </c>
      <c r="D145" s="15">
        <f t="shared" si="15"/>
        <v>0.49641203703703746</v>
      </c>
    </row>
    <row r="146" spans="1:4" hidden="1" x14ac:dyDescent="0.25">
      <c r="A146" s="13">
        <f t="shared" si="12"/>
        <v>0.49641203703703779</v>
      </c>
      <c r="B146" s="14">
        <f t="shared" si="13"/>
        <v>0.49780092592592634</v>
      </c>
      <c r="C146" s="14">
        <f t="shared" si="14"/>
        <v>0.49797453703703742</v>
      </c>
      <c r="D146" s="15">
        <f t="shared" si="15"/>
        <v>0.4980902777777782</v>
      </c>
    </row>
    <row r="147" spans="1:4" hidden="1" x14ac:dyDescent="0.25">
      <c r="A147" s="13">
        <f t="shared" si="12"/>
        <v>0.49809027777777853</v>
      </c>
      <c r="B147" s="14">
        <f t="shared" si="13"/>
        <v>0.49947916666666708</v>
      </c>
      <c r="C147" s="14">
        <f t="shared" si="14"/>
        <v>0.49965277777777817</v>
      </c>
      <c r="D147" s="15">
        <f t="shared" si="15"/>
        <v>0.49976851851851894</v>
      </c>
    </row>
    <row r="148" spans="1:4" hidden="1" x14ac:dyDescent="0.25">
      <c r="A148" s="13">
        <f t="shared" si="12"/>
        <v>0.49976851851851928</v>
      </c>
      <c r="B148" s="14">
        <f t="shared" si="13"/>
        <v>0.50115740740740777</v>
      </c>
      <c r="C148" s="14">
        <f t="shared" si="14"/>
        <v>0.50133101851851891</v>
      </c>
      <c r="D148" s="15">
        <f t="shared" si="15"/>
        <v>0.50144675925925963</v>
      </c>
    </row>
    <row r="149" spans="1:4" hidden="1" x14ac:dyDescent="0.25">
      <c r="A149" s="13">
        <f t="shared" si="12"/>
        <v>0.50144675925925997</v>
      </c>
      <c r="B149" s="14">
        <f t="shared" si="13"/>
        <v>0.50283564814814852</v>
      </c>
      <c r="C149" s="14">
        <f t="shared" si="14"/>
        <v>0.50300925925925966</v>
      </c>
      <c r="D149" s="15">
        <f t="shared" si="15"/>
        <v>0.50312500000000038</v>
      </c>
    </row>
    <row r="150" spans="1:4" hidden="1" x14ac:dyDescent="0.25">
      <c r="A150" s="13">
        <f t="shared" si="12"/>
        <v>0.50312500000000071</v>
      </c>
      <c r="B150" s="14">
        <f t="shared" si="13"/>
        <v>0.50451388888888926</v>
      </c>
      <c r="C150" s="14">
        <f t="shared" si="14"/>
        <v>0.5046875000000004</v>
      </c>
      <c r="D150" s="15">
        <f t="shared" si="15"/>
        <v>0.50480324074074112</v>
      </c>
    </row>
    <row r="151" spans="1:4" hidden="1" x14ac:dyDescent="0.25">
      <c r="A151" s="13">
        <f t="shared" si="12"/>
        <v>0.50480324074074145</v>
      </c>
      <c r="B151" s="14">
        <f t="shared" si="13"/>
        <v>0.50619212962963001</v>
      </c>
      <c r="C151" s="14">
        <f t="shared" si="14"/>
        <v>0.50636574074074114</v>
      </c>
      <c r="D151" s="15">
        <f t="shared" si="15"/>
        <v>0.50648148148148187</v>
      </c>
    </row>
    <row r="152" spans="1:4" hidden="1" x14ac:dyDescent="0.25">
      <c r="A152" s="13">
        <f t="shared" si="12"/>
        <v>0.5064814814814822</v>
      </c>
      <c r="B152" s="14">
        <f t="shared" si="13"/>
        <v>0.50787037037037075</v>
      </c>
      <c r="C152" s="14">
        <f t="shared" si="14"/>
        <v>0.50804398148148189</v>
      </c>
      <c r="D152" s="15">
        <f t="shared" si="15"/>
        <v>0.50815972222222261</v>
      </c>
    </row>
    <row r="153" spans="1:4" hidden="1" x14ac:dyDescent="0.25">
      <c r="A153" s="13">
        <f t="shared" ref="A153:A184" si="16">A152+$D$23</f>
        <v>0.50815972222222294</v>
      </c>
      <c r="B153" s="14">
        <f t="shared" ref="B153:B184" si="17">B152+$D$23</f>
        <v>0.50954861111111149</v>
      </c>
      <c r="C153" s="14">
        <f t="shared" ref="C153:C184" si="18">C152+$D$23</f>
        <v>0.50972222222222263</v>
      </c>
      <c r="D153" s="15">
        <f t="shared" ref="D153:D184" si="19">D152+$D$23</f>
        <v>0.50983796296296335</v>
      </c>
    </row>
    <row r="154" spans="1:4" hidden="1" x14ac:dyDescent="0.25">
      <c r="A154" s="13">
        <f t="shared" si="16"/>
        <v>0.50983796296296369</v>
      </c>
      <c r="B154" s="14">
        <f t="shared" si="17"/>
        <v>0.51122685185185224</v>
      </c>
      <c r="C154" s="14">
        <f t="shared" si="18"/>
        <v>0.51140046296296338</v>
      </c>
      <c r="D154" s="15">
        <f t="shared" si="19"/>
        <v>0.5115162037037041</v>
      </c>
    </row>
    <row r="155" spans="1:4" hidden="1" x14ac:dyDescent="0.25">
      <c r="A155" s="13">
        <f t="shared" si="16"/>
        <v>0.51151620370370443</v>
      </c>
      <c r="B155" s="14">
        <f t="shared" si="17"/>
        <v>0.51290509259259298</v>
      </c>
      <c r="C155" s="14">
        <f t="shared" si="18"/>
        <v>0.51307870370370412</v>
      </c>
      <c r="D155" s="15">
        <f t="shared" si="19"/>
        <v>0.51319444444444484</v>
      </c>
    </row>
    <row r="156" spans="1:4" hidden="1" x14ac:dyDescent="0.25">
      <c r="A156" s="13">
        <f t="shared" si="16"/>
        <v>0.51319444444444517</v>
      </c>
      <c r="B156" s="14">
        <f t="shared" si="17"/>
        <v>0.51458333333333373</v>
      </c>
      <c r="C156" s="14">
        <f t="shared" si="18"/>
        <v>0.51475694444444486</v>
      </c>
      <c r="D156" s="15">
        <f t="shared" si="19"/>
        <v>0.51487268518518559</v>
      </c>
    </row>
    <row r="157" spans="1:4" hidden="1" x14ac:dyDescent="0.25">
      <c r="A157" s="13">
        <f t="shared" si="16"/>
        <v>0.51487268518518592</v>
      </c>
      <c r="B157" s="14">
        <f t="shared" si="17"/>
        <v>0.51626157407407447</v>
      </c>
      <c r="C157" s="14">
        <f t="shared" si="18"/>
        <v>0.51643518518518561</v>
      </c>
      <c r="D157" s="15">
        <f t="shared" si="19"/>
        <v>0.51655092592592633</v>
      </c>
    </row>
    <row r="158" spans="1:4" hidden="1" x14ac:dyDescent="0.25">
      <c r="A158" s="13">
        <f t="shared" si="16"/>
        <v>0.51655092592592666</v>
      </c>
      <c r="B158" s="14">
        <f t="shared" si="17"/>
        <v>0.51793981481481521</v>
      </c>
      <c r="C158" s="14">
        <f t="shared" si="18"/>
        <v>0.51811342592592635</v>
      </c>
      <c r="D158" s="15">
        <f t="shared" si="19"/>
        <v>0.51822916666666707</v>
      </c>
    </row>
    <row r="159" spans="1:4" hidden="1" x14ac:dyDescent="0.25">
      <c r="A159" s="13">
        <f t="shared" si="16"/>
        <v>0.51822916666666741</v>
      </c>
      <c r="B159" s="14">
        <f t="shared" si="17"/>
        <v>0.51961805555555596</v>
      </c>
      <c r="C159" s="14">
        <f t="shared" si="18"/>
        <v>0.5197916666666671</v>
      </c>
      <c r="D159" s="15">
        <f t="shared" si="19"/>
        <v>0.51990740740740782</v>
      </c>
    </row>
    <row r="160" spans="1:4" hidden="1" x14ac:dyDescent="0.25">
      <c r="A160" s="13">
        <f t="shared" si="16"/>
        <v>0.51990740740740815</v>
      </c>
      <c r="B160" s="14">
        <f t="shared" si="17"/>
        <v>0.5212962962962967</v>
      </c>
      <c r="C160" s="14">
        <f t="shared" si="18"/>
        <v>0.52146990740740784</v>
      </c>
      <c r="D160" s="15">
        <f t="shared" si="19"/>
        <v>0.52158564814814856</v>
      </c>
    </row>
    <row r="161" spans="1:4" hidden="1" x14ac:dyDescent="0.25">
      <c r="A161" s="13">
        <f t="shared" si="16"/>
        <v>0.52158564814814889</v>
      </c>
      <c r="B161" s="14">
        <f t="shared" si="17"/>
        <v>0.52297453703703745</v>
      </c>
      <c r="C161" s="14">
        <f t="shared" si="18"/>
        <v>0.52314814814814858</v>
      </c>
      <c r="D161" s="15">
        <f t="shared" si="19"/>
        <v>0.52326388888888931</v>
      </c>
    </row>
    <row r="162" spans="1:4" hidden="1" x14ac:dyDescent="0.25">
      <c r="A162" s="13">
        <f t="shared" si="16"/>
        <v>0.52326388888888964</v>
      </c>
      <c r="B162" s="14">
        <f t="shared" si="17"/>
        <v>0.52465277777777819</v>
      </c>
      <c r="C162" s="14">
        <f t="shared" si="18"/>
        <v>0.52482638888888933</v>
      </c>
      <c r="D162" s="15">
        <f t="shared" si="19"/>
        <v>0.52494212962963005</v>
      </c>
    </row>
    <row r="163" spans="1:4" hidden="1" x14ac:dyDescent="0.25">
      <c r="A163" s="13">
        <f t="shared" si="16"/>
        <v>0.52494212962963038</v>
      </c>
      <c r="B163" s="14">
        <f t="shared" si="17"/>
        <v>0.52633101851851893</v>
      </c>
      <c r="C163" s="14">
        <f t="shared" si="18"/>
        <v>0.52650462962963007</v>
      </c>
      <c r="D163" s="15">
        <f t="shared" si="19"/>
        <v>0.52662037037037079</v>
      </c>
    </row>
    <row r="164" spans="1:4" hidden="1" x14ac:dyDescent="0.25">
      <c r="A164" s="13">
        <f t="shared" si="16"/>
        <v>0.52662037037037113</v>
      </c>
      <c r="B164" s="14">
        <f t="shared" si="17"/>
        <v>0.52800925925925968</v>
      </c>
      <c r="C164" s="14">
        <f t="shared" si="18"/>
        <v>0.52818287037037082</v>
      </c>
      <c r="D164" s="15">
        <f t="shared" si="19"/>
        <v>0.52829861111111154</v>
      </c>
    </row>
    <row r="165" spans="1:4" hidden="1" x14ac:dyDescent="0.25">
      <c r="A165" s="13">
        <f t="shared" si="16"/>
        <v>0.52829861111111187</v>
      </c>
      <c r="B165" s="14">
        <f t="shared" si="17"/>
        <v>0.52968750000000042</v>
      </c>
      <c r="C165" s="14">
        <f t="shared" si="18"/>
        <v>0.52986111111111156</v>
      </c>
      <c r="D165" s="15">
        <f t="shared" si="19"/>
        <v>0.52997685185185228</v>
      </c>
    </row>
    <row r="166" spans="1:4" hidden="1" x14ac:dyDescent="0.25">
      <c r="A166" s="13">
        <f t="shared" si="16"/>
        <v>0.52997685185185262</v>
      </c>
      <c r="B166" s="14">
        <f t="shared" si="17"/>
        <v>0.53136574074074117</v>
      </c>
      <c r="C166" s="14">
        <f t="shared" si="18"/>
        <v>0.5315393518518523</v>
      </c>
      <c r="D166" s="15">
        <f t="shared" si="19"/>
        <v>0.53165509259259303</v>
      </c>
    </row>
    <row r="167" spans="1:4" hidden="1" x14ac:dyDescent="0.25">
      <c r="A167" s="13">
        <f t="shared" si="16"/>
        <v>0.53165509259259336</v>
      </c>
      <c r="B167" s="14">
        <f t="shared" si="17"/>
        <v>0.53304398148148191</v>
      </c>
      <c r="C167" s="14">
        <f t="shared" si="18"/>
        <v>0.53321759259259305</v>
      </c>
      <c r="D167" s="15">
        <f t="shared" si="19"/>
        <v>0.53333333333333377</v>
      </c>
    </row>
    <row r="168" spans="1:4" hidden="1" x14ac:dyDescent="0.25">
      <c r="A168" s="13">
        <f t="shared" si="16"/>
        <v>0.5333333333333341</v>
      </c>
      <c r="B168" s="14">
        <f t="shared" si="17"/>
        <v>0.53472222222222265</v>
      </c>
      <c r="C168" s="14">
        <f t="shared" si="18"/>
        <v>0.53489583333333379</v>
      </c>
      <c r="D168" s="15">
        <f t="shared" si="19"/>
        <v>0.53501157407407451</v>
      </c>
    </row>
    <row r="169" spans="1:4" hidden="1" x14ac:dyDescent="0.25">
      <c r="A169" s="13">
        <f t="shared" si="16"/>
        <v>0.53501157407407485</v>
      </c>
      <c r="B169" s="14">
        <f t="shared" si="17"/>
        <v>0.5364004629629634</v>
      </c>
      <c r="C169" s="14">
        <f t="shared" si="18"/>
        <v>0.53657407407407454</v>
      </c>
      <c r="D169" s="15">
        <f t="shared" si="19"/>
        <v>0.53668981481481526</v>
      </c>
    </row>
    <row r="170" spans="1:4" hidden="1" x14ac:dyDescent="0.25">
      <c r="A170" s="13">
        <f t="shared" si="16"/>
        <v>0.53668981481481559</v>
      </c>
      <c r="B170" s="14">
        <f t="shared" si="17"/>
        <v>0.53807870370370414</v>
      </c>
      <c r="C170" s="14">
        <f t="shared" si="18"/>
        <v>0.53825231481481528</v>
      </c>
      <c r="D170" s="15">
        <f t="shared" si="19"/>
        <v>0.538368055555556</v>
      </c>
    </row>
    <row r="171" spans="1:4" hidden="1" x14ac:dyDescent="0.25">
      <c r="A171" s="13">
        <f t="shared" si="16"/>
        <v>0.53836805555555634</v>
      </c>
      <c r="B171" s="14">
        <f t="shared" si="17"/>
        <v>0.53975694444444489</v>
      </c>
      <c r="C171" s="14">
        <f t="shared" si="18"/>
        <v>0.53993055555555602</v>
      </c>
      <c r="D171" s="15">
        <f t="shared" si="19"/>
        <v>0.54004629629629675</v>
      </c>
    </row>
    <row r="172" spans="1:4" hidden="1" x14ac:dyDescent="0.25">
      <c r="A172" s="13">
        <f t="shared" si="16"/>
        <v>0.54004629629629708</v>
      </c>
      <c r="B172" s="14">
        <f t="shared" si="17"/>
        <v>0.54143518518518563</v>
      </c>
      <c r="C172" s="14">
        <f t="shared" si="18"/>
        <v>0.54160879629629677</v>
      </c>
      <c r="D172" s="15">
        <f t="shared" si="19"/>
        <v>0.54172453703703749</v>
      </c>
    </row>
    <row r="173" spans="1:4" hidden="1" x14ac:dyDescent="0.25">
      <c r="A173" s="13">
        <f t="shared" si="16"/>
        <v>0.54172453703703782</v>
      </c>
      <c r="B173" s="14">
        <f t="shared" si="17"/>
        <v>0.54311342592592637</v>
      </c>
      <c r="C173" s="14">
        <f t="shared" si="18"/>
        <v>0.54328703703703751</v>
      </c>
      <c r="D173" s="15">
        <f t="shared" si="19"/>
        <v>0.54340277777777823</v>
      </c>
    </row>
    <row r="174" spans="1:4" hidden="1" x14ac:dyDescent="0.25">
      <c r="A174" s="13">
        <f t="shared" si="16"/>
        <v>0.54340277777777857</v>
      </c>
      <c r="B174" s="14">
        <f t="shared" si="17"/>
        <v>0.54479166666666712</v>
      </c>
      <c r="C174" s="14">
        <f t="shared" si="18"/>
        <v>0.54496527777777826</v>
      </c>
      <c r="D174" s="15">
        <f t="shared" si="19"/>
        <v>0.54508101851851898</v>
      </c>
    </row>
    <row r="175" spans="1:4" hidden="1" x14ac:dyDescent="0.25">
      <c r="A175" s="13">
        <f t="shared" si="16"/>
        <v>0.54508101851851931</v>
      </c>
      <c r="B175" s="14">
        <f t="shared" si="17"/>
        <v>0.54646990740740786</v>
      </c>
      <c r="C175" s="14">
        <f t="shared" si="18"/>
        <v>0.546643518518519</v>
      </c>
      <c r="D175" s="15">
        <f t="shared" si="19"/>
        <v>0.54675925925925972</v>
      </c>
    </row>
    <row r="176" spans="1:4" hidden="1" x14ac:dyDescent="0.25">
      <c r="A176" s="13">
        <f t="shared" si="16"/>
        <v>0.54675925925926006</v>
      </c>
      <c r="B176" s="14">
        <f t="shared" si="17"/>
        <v>0.54814814814814861</v>
      </c>
      <c r="C176" s="14">
        <f t="shared" si="18"/>
        <v>0.54832175925925974</v>
      </c>
      <c r="D176" s="15">
        <f t="shared" si="19"/>
        <v>0.54843750000000047</v>
      </c>
    </row>
    <row r="177" spans="1:4" hidden="1" x14ac:dyDescent="0.25">
      <c r="A177" s="13">
        <f t="shared" si="16"/>
        <v>0.5484375000000008</v>
      </c>
      <c r="B177" s="14">
        <f t="shared" si="17"/>
        <v>0.54982638888888935</v>
      </c>
      <c r="C177" s="14">
        <f t="shared" si="18"/>
        <v>0.55000000000000049</v>
      </c>
      <c r="D177" s="15">
        <f t="shared" si="19"/>
        <v>0.55011574074074121</v>
      </c>
    </row>
    <row r="178" spans="1:4" hidden="1" x14ac:dyDescent="0.25">
      <c r="A178" s="13">
        <f t="shared" si="16"/>
        <v>0.55011574074074154</v>
      </c>
      <c r="B178" s="14">
        <f t="shared" si="17"/>
        <v>0.55150462962963009</v>
      </c>
      <c r="C178" s="14">
        <f t="shared" si="18"/>
        <v>0.55167824074074123</v>
      </c>
      <c r="D178" s="15">
        <f t="shared" si="19"/>
        <v>0.55179398148148195</v>
      </c>
    </row>
    <row r="179" spans="1:4" hidden="1" x14ac:dyDescent="0.25">
      <c r="A179" s="13">
        <f t="shared" si="16"/>
        <v>0.55179398148148229</v>
      </c>
      <c r="B179" s="14">
        <f t="shared" si="17"/>
        <v>0.55318287037037084</v>
      </c>
      <c r="C179" s="14">
        <f t="shared" si="18"/>
        <v>0.55335648148148198</v>
      </c>
      <c r="D179" s="15">
        <f t="shared" si="19"/>
        <v>0.5534722222222227</v>
      </c>
    </row>
    <row r="180" spans="1:4" hidden="1" x14ac:dyDescent="0.25">
      <c r="A180" s="13">
        <f t="shared" si="16"/>
        <v>0.55347222222222303</v>
      </c>
      <c r="B180" s="14">
        <f t="shared" si="17"/>
        <v>0.55486111111111158</v>
      </c>
      <c r="C180" s="14">
        <f t="shared" si="18"/>
        <v>0.55503472222222272</v>
      </c>
      <c r="D180" s="15">
        <f t="shared" si="19"/>
        <v>0.55515046296296344</v>
      </c>
    </row>
    <row r="181" spans="1:4" hidden="1" x14ac:dyDescent="0.25">
      <c r="A181" s="13">
        <f t="shared" si="16"/>
        <v>0.55515046296296378</v>
      </c>
      <c r="B181" s="14">
        <f t="shared" si="17"/>
        <v>0.55653935185185233</v>
      </c>
      <c r="C181" s="14">
        <f t="shared" si="18"/>
        <v>0.55671296296296346</v>
      </c>
      <c r="D181" s="15">
        <f t="shared" si="19"/>
        <v>0.55682870370370419</v>
      </c>
    </row>
    <row r="182" spans="1:4" hidden="1" x14ac:dyDescent="0.25">
      <c r="A182" s="13">
        <f t="shared" si="16"/>
        <v>0.55682870370370452</v>
      </c>
      <c r="B182" s="14">
        <f t="shared" si="17"/>
        <v>0.55821759259259307</v>
      </c>
      <c r="C182" s="14">
        <f t="shared" si="18"/>
        <v>0.55839120370370421</v>
      </c>
      <c r="D182" s="15">
        <f t="shared" si="19"/>
        <v>0.55850694444444493</v>
      </c>
    </row>
    <row r="183" spans="1:4" hidden="1" x14ac:dyDescent="0.25">
      <c r="A183" s="13">
        <f t="shared" si="16"/>
        <v>0.55850694444444526</v>
      </c>
      <c r="B183" s="14">
        <f t="shared" si="17"/>
        <v>0.55989583333333381</v>
      </c>
      <c r="C183" s="14">
        <f t="shared" si="18"/>
        <v>0.56006944444444495</v>
      </c>
      <c r="D183" s="15">
        <f t="shared" si="19"/>
        <v>0.56018518518518567</v>
      </c>
    </row>
    <row r="184" spans="1:4" hidden="1" x14ac:dyDescent="0.25">
      <c r="A184" s="13">
        <f t="shared" si="16"/>
        <v>0.56018518518518601</v>
      </c>
      <c r="B184" s="14">
        <f t="shared" si="17"/>
        <v>0.56157407407407456</v>
      </c>
      <c r="C184" s="14">
        <f t="shared" si="18"/>
        <v>0.5617476851851857</v>
      </c>
      <c r="D184" s="15">
        <f t="shared" si="19"/>
        <v>0.56186342592592642</v>
      </c>
    </row>
    <row r="185" spans="1:4" hidden="1" x14ac:dyDescent="0.25">
      <c r="A185" s="13">
        <f t="shared" ref="A185:A215" si="20">A184+$D$23</f>
        <v>0.56186342592592675</v>
      </c>
      <c r="B185" s="14">
        <f t="shared" ref="B185:B215" si="21">B184+$D$23</f>
        <v>0.5632523148148153</v>
      </c>
      <c r="C185" s="14">
        <f t="shared" ref="C185:C215" si="22">C184+$D$23</f>
        <v>0.56342592592592644</v>
      </c>
      <c r="D185" s="15">
        <f t="shared" ref="D185:D215" si="23">D184+$D$23</f>
        <v>0.56354166666666716</v>
      </c>
    </row>
    <row r="186" spans="1:4" hidden="1" x14ac:dyDescent="0.25">
      <c r="A186" s="13">
        <f t="shared" si="20"/>
        <v>0.5635416666666675</v>
      </c>
      <c r="B186" s="14">
        <f t="shared" si="21"/>
        <v>0.56493055555555605</v>
      </c>
      <c r="C186" s="14">
        <f t="shared" si="22"/>
        <v>0.56510416666666718</v>
      </c>
      <c r="D186" s="15">
        <f t="shared" si="23"/>
        <v>0.56521990740740791</v>
      </c>
    </row>
    <row r="187" spans="1:4" hidden="1" x14ac:dyDescent="0.25">
      <c r="A187" s="13">
        <f t="shared" si="20"/>
        <v>0.56521990740740824</v>
      </c>
      <c r="B187" s="14">
        <f t="shared" si="21"/>
        <v>0.56660879629629679</v>
      </c>
      <c r="C187" s="14">
        <f t="shared" si="22"/>
        <v>0.56678240740740793</v>
      </c>
      <c r="D187" s="15">
        <f t="shared" si="23"/>
        <v>0.56689814814814865</v>
      </c>
    </row>
    <row r="188" spans="1:4" hidden="1" x14ac:dyDescent="0.25">
      <c r="A188" s="13">
        <f t="shared" si="20"/>
        <v>0.56689814814814898</v>
      </c>
      <c r="B188" s="14">
        <f t="shared" si="21"/>
        <v>0.56828703703703753</v>
      </c>
      <c r="C188" s="14">
        <f t="shared" si="22"/>
        <v>0.56846064814814867</v>
      </c>
      <c r="D188" s="15">
        <f t="shared" si="23"/>
        <v>0.56857638888888939</v>
      </c>
    </row>
    <row r="189" spans="1:4" hidden="1" x14ac:dyDescent="0.25">
      <c r="A189" s="13">
        <f t="shared" si="20"/>
        <v>0.56857638888888973</v>
      </c>
      <c r="B189" s="14">
        <f t="shared" si="21"/>
        <v>0.56996527777777828</v>
      </c>
      <c r="C189" s="14">
        <f t="shared" si="22"/>
        <v>0.57013888888888942</v>
      </c>
      <c r="D189" s="15">
        <f t="shared" si="23"/>
        <v>0.57025462962963014</v>
      </c>
    </row>
    <row r="190" spans="1:4" hidden="1" x14ac:dyDescent="0.25">
      <c r="A190" s="13">
        <f t="shared" si="20"/>
        <v>0.57025462962963047</v>
      </c>
      <c r="B190" s="14">
        <f t="shared" si="21"/>
        <v>0.57164351851851902</v>
      </c>
      <c r="C190" s="14">
        <f t="shared" si="22"/>
        <v>0.57181712962963016</v>
      </c>
      <c r="D190" s="15">
        <f t="shared" si="23"/>
        <v>0.57193287037037088</v>
      </c>
    </row>
    <row r="191" spans="1:4" hidden="1" x14ac:dyDescent="0.25">
      <c r="A191" s="13">
        <f t="shared" si="20"/>
        <v>0.57193287037037122</v>
      </c>
      <c r="B191" s="14">
        <f t="shared" si="21"/>
        <v>0.57332175925925977</v>
      </c>
      <c r="C191" s="14">
        <f t="shared" si="22"/>
        <v>0.5734953703703709</v>
      </c>
      <c r="D191" s="15">
        <f t="shared" si="23"/>
        <v>0.57361111111111163</v>
      </c>
    </row>
    <row r="192" spans="1:4" hidden="1" x14ac:dyDescent="0.25">
      <c r="A192" s="13">
        <f t="shared" si="20"/>
        <v>0.57361111111111196</v>
      </c>
      <c r="B192" s="14">
        <f t="shared" si="21"/>
        <v>0.57500000000000051</v>
      </c>
      <c r="C192" s="14">
        <f t="shared" si="22"/>
        <v>0.57517361111111165</v>
      </c>
      <c r="D192" s="15">
        <f t="shared" si="23"/>
        <v>0.57528935185185237</v>
      </c>
    </row>
    <row r="193" spans="1:4" hidden="1" x14ac:dyDescent="0.25">
      <c r="A193" s="13">
        <f t="shared" si="20"/>
        <v>0.5752893518518527</v>
      </c>
      <c r="B193" s="14">
        <f t="shared" si="21"/>
        <v>0.57667824074074125</v>
      </c>
      <c r="C193" s="14">
        <f t="shared" si="22"/>
        <v>0.57685185185185239</v>
      </c>
      <c r="D193" s="15">
        <f t="shared" si="23"/>
        <v>0.57696759259259311</v>
      </c>
    </row>
    <row r="194" spans="1:4" hidden="1" x14ac:dyDescent="0.25">
      <c r="A194" s="13">
        <f t="shared" si="20"/>
        <v>0.57696759259259345</v>
      </c>
      <c r="B194" s="14">
        <f t="shared" si="21"/>
        <v>0.578356481481482</v>
      </c>
      <c r="C194" s="14">
        <f t="shared" si="22"/>
        <v>0.57853009259259314</v>
      </c>
      <c r="D194" s="15">
        <f t="shared" si="23"/>
        <v>0.57864583333333386</v>
      </c>
    </row>
    <row r="195" spans="1:4" hidden="1" x14ac:dyDescent="0.25">
      <c r="A195" s="13">
        <f t="shared" si="20"/>
        <v>0.57864583333333419</v>
      </c>
      <c r="B195" s="14">
        <f t="shared" si="21"/>
        <v>0.58003472222222274</v>
      </c>
      <c r="C195" s="14">
        <f t="shared" si="22"/>
        <v>0.58020833333333388</v>
      </c>
      <c r="D195" s="15">
        <f t="shared" si="23"/>
        <v>0.5803240740740746</v>
      </c>
    </row>
    <row r="196" spans="1:4" hidden="1" x14ac:dyDescent="0.25">
      <c r="A196" s="13">
        <f t="shared" si="20"/>
        <v>0.58032407407407494</v>
      </c>
      <c r="B196" s="14">
        <f t="shared" si="21"/>
        <v>0.58171296296296349</v>
      </c>
      <c r="C196" s="14">
        <f t="shared" si="22"/>
        <v>0.58188657407407463</v>
      </c>
      <c r="D196" s="15">
        <f t="shared" si="23"/>
        <v>0.58200231481481535</v>
      </c>
    </row>
    <row r="197" spans="1:4" hidden="1" x14ac:dyDescent="0.25">
      <c r="A197" s="13">
        <f t="shared" si="20"/>
        <v>0.58200231481481568</v>
      </c>
      <c r="B197" s="14">
        <f t="shared" si="21"/>
        <v>0.58339120370370423</v>
      </c>
      <c r="C197" s="14">
        <f t="shared" si="22"/>
        <v>0.58356481481481537</v>
      </c>
      <c r="D197" s="15">
        <f t="shared" si="23"/>
        <v>0.58368055555555609</v>
      </c>
    </row>
    <row r="198" spans="1:4" hidden="1" x14ac:dyDescent="0.25">
      <c r="A198" s="13">
        <f t="shared" si="20"/>
        <v>0.58368055555555642</v>
      </c>
      <c r="B198" s="14">
        <f t="shared" si="21"/>
        <v>0.58506944444444497</v>
      </c>
      <c r="C198" s="14">
        <f t="shared" si="22"/>
        <v>0.58524305555555611</v>
      </c>
      <c r="D198" s="15">
        <f t="shared" si="23"/>
        <v>0.58535879629629683</v>
      </c>
    </row>
    <row r="199" spans="1:4" hidden="1" x14ac:dyDescent="0.25">
      <c r="A199" s="13">
        <f t="shared" si="20"/>
        <v>0.58535879629629717</v>
      </c>
      <c r="B199" s="14">
        <f t="shared" si="21"/>
        <v>0.58674768518518572</v>
      </c>
      <c r="C199" s="14">
        <f t="shared" si="22"/>
        <v>0.58692129629629686</v>
      </c>
      <c r="D199" s="15">
        <f t="shared" si="23"/>
        <v>0.58703703703703758</v>
      </c>
    </row>
    <row r="200" spans="1:4" hidden="1" x14ac:dyDescent="0.25">
      <c r="A200" s="13">
        <f t="shared" si="20"/>
        <v>0.58703703703703791</v>
      </c>
      <c r="B200" s="14">
        <f t="shared" si="21"/>
        <v>0.58842592592592646</v>
      </c>
      <c r="C200" s="14">
        <f t="shared" si="22"/>
        <v>0.5885995370370376</v>
      </c>
      <c r="D200" s="15">
        <f t="shared" si="23"/>
        <v>0.58871527777777832</v>
      </c>
    </row>
    <row r="201" spans="1:4" hidden="1" x14ac:dyDescent="0.25">
      <c r="A201" s="13">
        <f t="shared" si="20"/>
        <v>0.58871527777777866</v>
      </c>
      <c r="B201" s="14">
        <f t="shared" si="21"/>
        <v>0.59010416666666721</v>
      </c>
      <c r="C201" s="14">
        <f t="shared" si="22"/>
        <v>0.59027777777777835</v>
      </c>
      <c r="D201" s="15">
        <f t="shared" si="23"/>
        <v>0.59039351851851907</v>
      </c>
    </row>
    <row r="202" spans="1:4" hidden="1" x14ac:dyDescent="0.25">
      <c r="A202" s="13">
        <f t="shared" si="20"/>
        <v>0.5903935185185194</v>
      </c>
      <c r="B202" s="14">
        <f t="shared" si="21"/>
        <v>0.59178240740740795</v>
      </c>
      <c r="C202" s="14">
        <f t="shared" si="22"/>
        <v>0.59195601851851909</v>
      </c>
      <c r="D202" s="15">
        <f t="shared" si="23"/>
        <v>0.59207175925925981</v>
      </c>
    </row>
    <row r="203" spans="1:4" hidden="1" x14ac:dyDescent="0.25">
      <c r="A203" s="13">
        <f t="shared" si="20"/>
        <v>0.59207175925926014</v>
      </c>
      <c r="B203" s="14">
        <f t="shared" si="21"/>
        <v>0.5934606481481487</v>
      </c>
      <c r="C203" s="14">
        <f t="shared" si="22"/>
        <v>0.59363425925925983</v>
      </c>
      <c r="D203" s="15">
        <f t="shared" si="23"/>
        <v>0.59375000000000056</v>
      </c>
    </row>
    <row r="204" spans="1:4" hidden="1" x14ac:dyDescent="0.25">
      <c r="A204" s="13">
        <f t="shared" si="20"/>
        <v>0.59375000000000089</v>
      </c>
      <c r="B204" s="14">
        <f t="shared" si="21"/>
        <v>0.59513888888888944</v>
      </c>
      <c r="C204" s="14">
        <f t="shared" si="22"/>
        <v>0.59531250000000058</v>
      </c>
      <c r="D204" s="15">
        <f t="shared" si="23"/>
        <v>0.5954282407407413</v>
      </c>
    </row>
    <row r="205" spans="1:4" hidden="1" x14ac:dyDescent="0.25">
      <c r="A205" s="13">
        <f t="shared" si="20"/>
        <v>0.59542824074074163</v>
      </c>
      <c r="B205" s="14">
        <f t="shared" si="21"/>
        <v>0.59681712962963018</v>
      </c>
      <c r="C205" s="14">
        <f t="shared" si="22"/>
        <v>0.59699074074074132</v>
      </c>
      <c r="D205" s="15">
        <f t="shared" si="23"/>
        <v>0.59710648148148204</v>
      </c>
    </row>
    <row r="206" spans="1:4" hidden="1" x14ac:dyDescent="0.25">
      <c r="A206" s="13">
        <f t="shared" si="20"/>
        <v>0.59710648148148238</v>
      </c>
      <c r="B206" s="14">
        <f t="shared" si="21"/>
        <v>0.59849537037037093</v>
      </c>
      <c r="C206" s="14">
        <f t="shared" si="22"/>
        <v>0.59866898148148207</v>
      </c>
      <c r="D206" s="15">
        <f t="shared" si="23"/>
        <v>0.59878472222222279</v>
      </c>
    </row>
    <row r="207" spans="1:4" hidden="1" x14ac:dyDescent="0.25">
      <c r="A207" s="13">
        <f t="shared" si="20"/>
        <v>0.59878472222222312</v>
      </c>
      <c r="B207" s="14">
        <f t="shared" si="21"/>
        <v>0.60017361111111167</v>
      </c>
      <c r="C207" s="14">
        <f t="shared" si="22"/>
        <v>0.60034722222222281</v>
      </c>
      <c r="D207" s="15">
        <f t="shared" si="23"/>
        <v>0.60046296296296353</v>
      </c>
    </row>
    <row r="208" spans="1:4" hidden="1" x14ac:dyDescent="0.25">
      <c r="A208" s="13">
        <f t="shared" si="20"/>
        <v>0.60046296296296386</v>
      </c>
      <c r="B208" s="14">
        <f t="shared" si="21"/>
        <v>0.60185185185185242</v>
      </c>
      <c r="C208" s="14">
        <f t="shared" si="22"/>
        <v>0.60202546296296355</v>
      </c>
      <c r="D208" s="15">
        <f t="shared" si="23"/>
        <v>0.60214120370370428</v>
      </c>
    </row>
    <row r="209" spans="1:4" hidden="1" x14ac:dyDescent="0.25">
      <c r="A209" s="13">
        <f t="shared" si="20"/>
        <v>0.60214120370370461</v>
      </c>
      <c r="B209" s="14">
        <f t="shared" si="21"/>
        <v>0.60353009259259316</v>
      </c>
      <c r="C209" s="14">
        <f t="shared" si="22"/>
        <v>0.6037037037037043</v>
      </c>
      <c r="D209" s="15">
        <f t="shared" si="23"/>
        <v>0.60381944444444502</v>
      </c>
    </row>
    <row r="210" spans="1:4" x14ac:dyDescent="0.25">
      <c r="A210" s="13">
        <f t="shared" si="20"/>
        <v>0.60381944444444535</v>
      </c>
      <c r="B210" s="14">
        <f t="shared" si="21"/>
        <v>0.6052083333333339</v>
      </c>
      <c r="C210" s="14">
        <f t="shared" si="22"/>
        <v>0.60538194444444504</v>
      </c>
      <c r="D210" s="15">
        <f t="shared" si="23"/>
        <v>0.60549768518518576</v>
      </c>
    </row>
    <row r="211" spans="1:4" x14ac:dyDescent="0.25">
      <c r="A211" s="13">
        <f t="shared" si="20"/>
        <v>0.6054976851851861</v>
      </c>
      <c r="B211" s="14">
        <f t="shared" si="21"/>
        <v>0.60688657407407465</v>
      </c>
      <c r="C211" s="14">
        <f t="shared" si="22"/>
        <v>0.60706018518518579</v>
      </c>
      <c r="D211" s="15">
        <f t="shared" si="23"/>
        <v>0.60717592592592651</v>
      </c>
    </row>
    <row r="212" spans="1:4" x14ac:dyDescent="0.25">
      <c r="A212" s="13">
        <f t="shared" si="20"/>
        <v>0.60717592592592684</v>
      </c>
      <c r="B212" s="14">
        <f t="shared" si="21"/>
        <v>0.60856481481481539</v>
      </c>
      <c r="C212" s="14">
        <f t="shared" si="22"/>
        <v>0.60873842592592653</v>
      </c>
      <c r="D212" s="15">
        <f t="shared" si="23"/>
        <v>0.60885416666666725</v>
      </c>
    </row>
    <row r="213" spans="1:4" x14ac:dyDescent="0.25">
      <c r="A213" s="13">
        <f t="shared" si="20"/>
        <v>0.60885416666666758</v>
      </c>
      <c r="B213" s="14">
        <f t="shared" si="21"/>
        <v>0.61024305555555614</v>
      </c>
      <c r="C213" s="14">
        <f t="shared" si="22"/>
        <v>0.61041666666666727</v>
      </c>
      <c r="D213" s="15">
        <f t="shared" si="23"/>
        <v>0.610532407407408</v>
      </c>
    </row>
    <row r="214" spans="1:4" x14ac:dyDescent="0.25">
      <c r="A214" s="13">
        <f t="shared" si="20"/>
        <v>0.61053240740740833</v>
      </c>
      <c r="B214" s="14">
        <f t="shared" si="21"/>
        <v>0.61192129629629688</v>
      </c>
      <c r="C214" s="14">
        <f t="shared" si="22"/>
        <v>0.61209490740740802</v>
      </c>
      <c r="D214" s="15">
        <f t="shared" si="23"/>
        <v>0.61221064814814874</v>
      </c>
    </row>
    <row r="215" spans="1:4" x14ac:dyDescent="0.25">
      <c r="A215" s="13">
        <f t="shared" si="20"/>
        <v>0.61221064814814907</v>
      </c>
      <c r="B215" s="16">
        <f t="shared" si="21"/>
        <v>0.61359953703703762</v>
      </c>
      <c r="C215" s="17">
        <f t="shared" si="22"/>
        <v>0.61377314814814876</v>
      </c>
      <c r="D215" s="15">
        <f t="shared" si="23"/>
        <v>0.61388888888888948</v>
      </c>
    </row>
    <row r="216" spans="1:4" x14ac:dyDescent="0.25">
      <c r="A216" s="13">
        <f>A215+$D$23</f>
        <v>0.61388888888888982</v>
      </c>
      <c r="B216" s="14"/>
      <c r="C216" s="14"/>
      <c r="D216" s="15"/>
    </row>
    <row r="217" spans="1:4" x14ac:dyDescent="0.25">
      <c r="A217" s="13"/>
      <c r="B217" s="18"/>
      <c r="C217" s="18"/>
      <c r="D217" s="19"/>
    </row>
    <row r="218" spans="1:4" x14ac:dyDescent="0.25">
      <c r="A218" s="20" t="s">
        <v>3</v>
      </c>
      <c r="B218" s="21" t="s">
        <v>51</v>
      </c>
      <c r="C218" s="22"/>
      <c r="D218" s="23"/>
    </row>
    <row r="219" spans="1:4" x14ac:dyDescent="0.25">
      <c r="A219" s="2"/>
      <c r="B219" s="1"/>
      <c r="C219" s="1"/>
      <c r="D219" s="3"/>
    </row>
    <row r="220" spans="1:4" x14ac:dyDescent="0.25">
      <c r="A220" s="2"/>
      <c r="B220" s="1"/>
      <c r="C220" s="1"/>
      <c r="D22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FF00"/>
  </sheetPr>
  <dimension ref="A1:N516"/>
  <sheetViews>
    <sheetView tabSelected="1" workbookViewId="0">
      <selection activeCell="J1" sqref="J1"/>
    </sheetView>
  </sheetViews>
  <sheetFormatPr defaultRowHeight="15" x14ac:dyDescent="0.25"/>
  <cols>
    <col min="2" max="2" width="10.140625" bestFit="1" customWidth="1"/>
    <col min="3" max="3" width="27.140625" customWidth="1"/>
    <col min="4" max="4" width="15.5703125" bestFit="1" customWidth="1"/>
    <col min="5" max="6" width="28.5703125" customWidth="1"/>
    <col min="10" max="10" width="10.140625" bestFit="1" customWidth="1"/>
    <col min="11" max="11" width="28.5703125" customWidth="1"/>
    <col min="12" max="12" width="17.140625" customWidth="1"/>
    <col min="13" max="13" width="28.5703125" customWidth="1"/>
    <col min="14" max="14" width="24" bestFit="1" customWidth="1"/>
  </cols>
  <sheetData>
    <row r="1" spans="2:14" x14ac:dyDescent="0.25">
      <c r="B1" s="122" t="s">
        <v>108</v>
      </c>
      <c r="C1" s="105" t="s">
        <v>103</v>
      </c>
      <c r="D1" s="105"/>
      <c r="E1" s="105"/>
      <c r="F1" s="105"/>
      <c r="J1" s="124" t="s">
        <v>107</v>
      </c>
      <c r="K1" s="101" t="s">
        <v>106</v>
      </c>
      <c r="L1" s="101"/>
      <c r="M1" s="101"/>
      <c r="N1" s="101"/>
    </row>
    <row r="2" spans="2:14" x14ac:dyDescent="0.25">
      <c r="B2" s="105" t="s">
        <v>11</v>
      </c>
      <c r="C2" s="105"/>
      <c r="D2" s="105"/>
      <c r="E2" s="105"/>
      <c r="F2" s="105"/>
      <c r="J2" s="101" t="s">
        <v>11</v>
      </c>
      <c r="K2" s="101"/>
      <c r="L2" s="101"/>
      <c r="M2" s="101"/>
      <c r="N2" s="101"/>
    </row>
    <row r="3" spans="2:14" x14ac:dyDescent="0.25">
      <c r="B3" s="105"/>
      <c r="C3" s="105" t="s">
        <v>44</v>
      </c>
      <c r="D3" s="106">
        <v>17000000</v>
      </c>
      <c r="E3" s="105" t="s">
        <v>45</v>
      </c>
      <c r="F3" s="105"/>
      <c r="J3" s="101"/>
      <c r="K3" s="101" t="s">
        <v>44</v>
      </c>
      <c r="L3" s="117">
        <v>17000000</v>
      </c>
      <c r="M3" s="101" t="s">
        <v>45</v>
      </c>
      <c r="N3" s="101"/>
    </row>
    <row r="4" spans="2:14" x14ac:dyDescent="0.25">
      <c r="B4" s="105"/>
      <c r="C4" s="105" t="s">
        <v>41</v>
      </c>
      <c r="D4" s="107">
        <v>0.1</v>
      </c>
      <c r="E4" s="105" t="s">
        <v>46</v>
      </c>
      <c r="F4" s="105"/>
      <c r="J4" s="101"/>
      <c r="K4" s="101" t="s">
        <v>41</v>
      </c>
      <c r="L4" s="118">
        <v>0.1</v>
      </c>
      <c r="M4" s="101" t="s">
        <v>46</v>
      </c>
      <c r="N4" s="101"/>
    </row>
    <row r="5" spans="2:14" x14ac:dyDescent="0.25">
      <c r="B5" s="105"/>
      <c r="C5" s="105" t="s">
        <v>25</v>
      </c>
      <c r="D5" s="115">
        <v>0.2</v>
      </c>
      <c r="E5" s="105" t="s">
        <v>27</v>
      </c>
      <c r="F5" s="105"/>
      <c r="J5" s="101"/>
      <c r="K5" s="101" t="s">
        <v>25</v>
      </c>
      <c r="L5" s="123">
        <f>(1 + 0.2/12)^12-1</f>
        <v>0.21939108490523185</v>
      </c>
      <c r="M5" s="101" t="s">
        <v>27</v>
      </c>
      <c r="N5" s="101"/>
    </row>
    <row r="6" spans="2:14" x14ac:dyDescent="0.25">
      <c r="B6" s="105"/>
      <c r="C6" s="105" t="s">
        <v>42</v>
      </c>
      <c r="D6" s="108">
        <v>40</v>
      </c>
      <c r="E6" s="105" t="s">
        <v>43</v>
      </c>
      <c r="F6" s="105"/>
      <c r="J6" s="101"/>
      <c r="K6" s="101" t="s">
        <v>42</v>
      </c>
      <c r="L6" s="104">
        <v>40</v>
      </c>
      <c r="M6" s="101" t="s">
        <v>43</v>
      </c>
      <c r="N6" s="101"/>
    </row>
    <row r="7" spans="2:14" x14ac:dyDescent="0.25">
      <c r="B7" s="105"/>
      <c r="C7" s="105" t="s">
        <v>31</v>
      </c>
      <c r="D7" s="108">
        <f>YEARS*12</f>
        <v>480</v>
      </c>
      <c r="E7" s="105" t="s">
        <v>28</v>
      </c>
      <c r="F7" s="105"/>
      <c r="J7" s="101"/>
      <c r="K7" s="101" t="s">
        <v>31</v>
      </c>
      <c r="L7" s="104">
        <f>YEARS*12</f>
        <v>480</v>
      </c>
      <c r="M7" s="101" t="s">
        <v>28</v>
      </c>
      <c r="N7" s="101"/>
    </row>
    <row r="8" spans="2:14" x14ac:dyDescent="0.25">
      <c r="B8" s="105"/>
      <c r="C8" s="105"/>
      <c r="D8" s="108"/>
      <c r="E8" s="105"/>
      <c r="F8" s="105"/>
      <c r="J8" s="101"/>
      <c r="K8" s="101"/>
      <c r="L8" s="104"/>
      <c r="M8" s="101"/>
      <c r="N8" s="101"/>
    </row>
    <row r="9" spans="2:14" x14ac:dyDescent="0.25">
      <c r="B9" s="105" t="s">
        <v>20</v>
      </c>
      <c r="C9" s="105"/>
      <c r="D9" s="108"/>
      <c r="E9" s="105"/>
      <c r="F9" s="105"/>
      <c r="J9" s="101" t="s">
        <v>20</v>
      </c>
      <c r="K9" s="101"/>
      <c r="L9" s="104"/>
      <c r="M9" s="101"/>
      <c r="N9" s="101"/>
    </row>
    <row r="10" spans="2:14" x14ac:dyDescent="0.25">
      <c r="B10" s="105"/>
      <c r="C10" s="105" t="s">
        <v>21</v>
      </c>
      <c r="D10" s="108"/>
      <c r="E10" s="105"/>
      <c r="F10" s="105"/>
      <c r="J10" s="101"/>
      <c r="K10" s="101" t="s">
        <v>21</v>
      </c>
      <c r="L10" s="104"/>
      <c r="M10" s="101"/>
      <c r="N10" s="101"/>
    </row>
    <row r="11" spans="2:14" x14ac:dyDescent="0.25">
      <c r="B11" s="105"/>
      <c r="C11" s="105" t="s">
        <v>22</v>
      </c>
      <c r="D11" s="108"/>
      <c r="E11" s="105"/>
      <c r="F11" s="105"/>
      <c r="J11" s="101"/>
      <c r="K11" s="101" t="s">
        <v>22</v>
      </c>
      <c r="L11" s="104"/>
      <c r="M11" s="101"/>
      <c r="N11" s="101"/>
    </row>
    <row r="12" spans="2:14" x14ac:dyDescent="0.25">
      <c r="B12" s="105"/>
      <c r="C12" s="105" t="s">
        <v>23</v>
      </c>
      <c r="D12" s="108"/>
      <c r="E12" s="105"/>
      <c r="F12" s="105"/>
      <c r="J12" s="101"/>
      <c r="K12" s="101" t="s">
        <v>23</v>
      </c>
      <c r="L12" s="104"/>
      <c r="M12" s="101"/>
      <c r="N12" s="101"/>
    </row>
    <row r="13" spans="2:14" x14ac:dyDescent="0.25">
      <c r="B13" s="105"/>
      <c r="C13" s="105" t="s">
        <v>50</v>
      </c>
      <c r="D13" s="108"/>
      <c r="E13" s="105"/>
      <c r="F13" s="105"/>
      <c r="J13" s="101"/>
      <c r="K13" s="101" t="s">
        <v>50</v>
      </c>
      <c r="L13" s="104"/>
      <c r="M13" s="101"/>
      <c r="N13" s="101"/>
    </row>
    <row r="14" spans="2:14" x14ac:dyDescent="0.25">
      <c r="B14" s="105"/>
      <c r="C14" s="105"/>
      <c r="D14" s="108"/>
      <c r="E14" s="105"/>
      <c r="F14" s="105"/>
      <c r="J14" s="101"/>
      <c r="K14" s="101"/>
      <c r="L14" s="104"/>
      <c r="M14" s="101"/>
      <c r="N14" s="101"/>
    </row>
    <row r="15" spans="2:14" x14ac:dyDescent="0.25">
      <c r="B15" s="105"/>
      <c r="C15" s="105" t="s">
        <v>54</v>
      </c>
      <c r="D15" s="108"/>
      <c r="E15" s="105"/>
      <c r="F15" s="105"/>
      <c r="J15" s="101"/>
      <c r="K15" s="101" t="s">
        <v>54</v>
      </c>
      <c r="L15" s="104"/>
      <c r="M15" s="101"/>
      <c r="N15" s="101"/>
    </row>
    <row r="16" spans="2:14" x14ac:dyDescent="0.25">
      <c r="B16" s="105"/>
      <c r="C16" s="105" t="s">
        <v>24</v>
      </c>
      <c r="D16" s="108"/>
      <c r="E16" s="105"/>
      <c r="F16" s="105"/>
      <c r="J16" s="101"/>
      <c r="K16" s="101" t="s">
        <v>24</v>
      </c>
      <c r="L16" s="104"/>
      <c r="M16" s="101"/>
      <c r="N16" s="101"/>
    </row>
    <row r="17" spans="1:14" x14ac:dyDescent="0.25">
      <c r="B17" s="105"/>
      <c r="C17" s="105"/>
      <c r="D17" s="108"/>
      <c r="E17" s="105"/>
      <c r="F17" s="105"/>
      <c r="J17" s="101"/>
      <c r="K17" s="101"/>
      <c r="L17" s="104"/>
      <c r="M17" s="101"/>
      <c r="N17" s="101"/>
    </row>
    <row r="18" spans="1:14" x14ac:dyDescent="0.25">
      <c r="B18" s="105" t="s">
        <v>12</v>
      </c>
      <c r="C18" s="105"/>
      <c r="D18" s="105"/>
      <c r="E18" s="105"/>
      <c r="F18" s="105"/>
      <c r="J18" s="101" t="s">
        <v>12</v>
      </c>
      <c r="K18" s="101"/>
      <c r="L18" s="101"/>
      <c r="M18" s="101"/>
      <c r="N18" s="101"/>
    </row>
    <row r="19" spans="1:14" x14ac:dyDescent="0.25">
      <c r="B19" s="105"/>
      <c r="C19" s="105" t="s">
        <v>33</v>
      </c>
      <c r="D19" s="109">
        <f>PRICE*(1-FRANCHISE)</f>
        <v>15300000</v>
      </c>
      <c r="E19" s="105" t="s">
        <v>26</v>
      </c>
      <c r="F19" s="105"/>
      <c r="J19" s="101"/>
      <c r="K19" s="101" t="s">
        <v>33</v>
      </c>
      <c r="L19" s="119">
        <f>PRICE*(1-FRANCHISE)</f>
        <v>15300000</v>
      </c>
      <c r="M19" s="101" t="s">
        <v>26</v>
      </c>
      <c r="N19" s="101"/>
    </row>
    <row r="20" spans="1:14" x14ac:dyDescent="0.25">
      <c r="B20" s="105"/>
      <c r="C20" s="105" t="s">
        <v>32</v>
      </c>
      <c r="D20" s="114">
        <f>POWER((1+ANNUAL_INTEREST_RATE),(1/12))-1</f>
        <v>1.5309470499731193E-2</v>
      </c>
      <c r="E20" s="105" t="s">
        <v>29</v>
      </c>
      <c r="F20" s="105"/>
      <c r="J20" s="101"/>
      <c r="K20" s="101" t="s">
        <v>32</v>
      </c>
      <c r="L20" s="125">
        <f>0.2/12</f>
        <v>1.6666666666666666E-2</v>
      </c>
      <c r="M20" s="101" t="s">
        <v>29</v>
      </c>
      <c r="N20" s="101"/>
    </row>
    <row r="21" spans="1:14" x14ac:dyDescent="0.25">
      <c r="B21" s="105"/>
      <c r="C21" s="105"/>
      <c r="D21" s="105"/>
      <c r="E21" s="105" t="s">
        <v>30</v>
      </c>
      <c r="F21" s="105"/>
      <c r="J21" s="101"/>
      <c r="K21" s="101"/>
      <c r="L21" s="101"/>
      <c r="M21" s="101" t="s">
        <v>30</v>
      </c>
      <c r="N21" s="101"/>
    </row>
    <row r="22" spans="1:14" x14ac:dyDescent="0.25">
      <c r="B22" s="105"/>
      <c r="C22" s="105"/>
      <c r="D22" s="105"/>
      <c r="E22" s="105"/>
      <c r="F22" s="105"/>
      <c r="J22" s="101"/>
      <c r="K22" s="101"/>
      <c r="L22" s="101"/>
      <c r="M22" s="101"/>
      <c r="N22" s="101"/>
    </row>
    <row r="23" spans="1:14" x14ac:dyDescent="0.25">
      <c r="B23" s="105"/>
      <c r="C23" s="105" t="s">
        <v>34</v>
      </c>
      <c r="D23" s="109">
        <f>(P*((1+i)^n)*i)/((1+i)^n-1)</f>
        <v>234394.37538396832</v>
      </c>
      <c r="E23" s="105" t="s">
        <v>101</v>
      </c>
      <c r="F23" s="105"/>
      <c r="J23" s="101"/>
      <c r="K23" s="101" t="s">
        <v>34</v>
      </c>
      <c r="L23" s="119">
        <f>(L19*((1+L20)^L7)*L20)/((1+L20)^L7-1)</f>
        <v>255091.40610574093</v>
      </c>
      <c r="M23" s="101" t="s">
        <v>101</v>
      </c>
      <c r="N23" s="101"/>
    </row>
    <row r="24" spans="1:14" x14ac:dyDescent="0.25">
      <c r="B24" s="105"/>
      <c r="C24" s="105"/>
      <c r="D24" s="109"/>
      <c r="E24" s="105"/>
      <c r="F24" s="105"/>
      <c r="J24" s="101"/>
      <c r="K24" s="101"/>
      <c r="L24" s="119"/>
      <c r="M24" s="101"/>
      <c r="N24" s="101"/>
    </row>
    <row r="25" spans="1:14" x14ac:dyDescent="0.25">
      <c r="B25" s="105"/>
      <c r="C25" s="105" t="s">
        <v>34</v>
      </c>
      <c r="D25" s="109">
        <f>PMT(i,n,MORTGAGE_DEBT)*(-1)</f>
        <v>234394.37538396829</v>
      </c>
      <c r="E25" s="105" t="s">
        <v>102</v>
      </c>
      <c r="F25" s="105"/>
      <c r="J25" s="101"/>
      <c r="K25" s="101" t="s">
        <v>34</v>
      </c>
      <c r="L25" s="119">
        <f>PMT(L20,L7,L19)*(-1)</f>
        <v>255091.40610574096</v>
      </c>
      <c r="M25" s="101" t="s">
        <v>102</v>
      </c>
      <c r="N25" s="101"/>
    </row>
    <row r="26" spans="1:14" x14ac:dyDescent="0.25">
      <c r="B26" s="105"/>
      <c r="C26" s="105"/>
      <c r="D26" s="109"/>
      <c r="E26" s="105"/>
      <c r="F26" s="105"/>
      <c r="J26" s="101"/>
      <c r="K26" s="101"/>
      <c r="L26" s="119"/>
      <c r="M26" s="101"/>
      <c r="N26" s="101"/>
    </row>
    <row r="27" spans="1:14" x14ac:dyDescent="0.25">
      <c r="B27" s="105" t="s">
        <v>3</v>
      </c>
      <c r="C27" s="105"/>
      <c r="D27" s="110"/>
      <c r="E27" s="105"/>
      <c r="F27" s="105"/>
      <c r="J27" s="101" t="s">
        <v>3</v>
      </c>
      <c r="K27" s="101"/>
      <c r="L27" s="120"/>
      <c r="M27" s="101"/>
      <c r="N27" s="101"/>
    </row>
    <row r="28" spans="1:14" x14ac:dyDescent="0.25">
      <c r="B28" s="105"/>
      <c r="C28" s="113" t="s">
        <v>104</v>
      </c>
      <c r="D28" s="116">
        <f>ROUNDUP(x*2,2)</f>
        <v>468788.76</v>
      </c>
      <c r="E28" s="105" t="s">
        <v>39</v>
      </c>
      <c r="F28" s="105"/>
      <c r="G28" s="4"/>
      <c r="H28" s="4"/>
      <c r="I28" s="4"/>
      <c r="J28" s="101"/>
      <c r="K28" s="101" t="s">
        <v>105</v>
      </c>
      <c r="L28" s="126">
        <f>ROUNDUP(L23*2,2)</f>
        <v>510182.82</v>
      </c>
      <c r="M28" s="101" t="s">
        <v>39</v>
      </c>
      <c r="N28" s="101"/>
    </row>
    <row r="29" spans="1:14" x14ac:dyDescent="0.25">
      <c r="B29" s="105"/>
      <c r="C29" s="105"/>
      <c r="D29" s="105"/>
      <c r="E29" s="105"/>
      <c r="F29" s="105"/>
      <c r="J29" s="101"/>
      <c r="K29" s="101"/>
      <c r="L29" s="101"/>
      <c r="M29" s="101"/>
      <c r="N29" s="101"/>
    </row>
    <row r="30" spans="1:14" x14ac:dyDescent="0.25">
      <c r="B30" s="108" t="s">
        <v>38</v>
      </c>
      <c r="C30" s="108" t="s">
        <v>36</v>
      </c>
      <c r="D30" s="108" t="s">
        <v>35</v>
      </c>
      <c r="E30" s="108" t="s">
        <v>40</v>
      </c>
      <c r="F30" s="108" t="s">
        <v>37</v>
      </c>
      <c r="J30" s="104" t="s">
        <v>38</v>
      </c>
      <c r="K30" s="104" t="s">
        <v>36</v>
      </c>
      <c r="L30" s="104" t="s">
        <v>35</v>
      </c>
      <c r="M30" s="104" t="s">
        <v>40</v>
      </c>
      <c r="N30" s="104" t="s">
        <v>37</v>
      </c>
    </row>
    <row r="31" spans="1:14" x14ac:dyDescent="0.25">
      <c r="B31" s="112"/>
      <c r="C31" s="111">
        <f>0-MORTGAGE_DEBT</f>
        <v>-15300000</v>
      </c>
      <c r="D31" s="111">
        <v>0</v>
      </c>
      <c r="E31" s="111">
        <v>0</v>
      </c>
      <c r="F31" s="111">
        <f>MORTGAGE_DEBT</f>
        <v>15300000</v>
      </c>
      <c r="J31" s="121"/>
      <c r="K31" s="103">
        <f>0-MORTGAGE_DEBT</f>
        <v>-15300000</v>
      </c>
      <c r="L31" s="103">
        <v>0</v>
      </c>
      <c r="M31" s="103">
        <v>0</v>
      </c>
      <c r="N31" s="103">
        <f>MORTGAGE_DEBT</f>
        <v>15300000</v>
      </c>
    </row>
    <row r="32" spans="1:14" x14ac:dyDescent="0.25">
      <c r="A32">
        <v>1</v>
      </c>
      <c r="B32" s="112">
        <v>45658</v>
      </c>
      <c r="C32" s="111">
        <f t="shared" ref="C32:C95" si="0">x</f>
        <v>234394.37538396832</v>
      </c>
      <c r="D32" s="111">
        <f t="shared" ref="D32:D95" si="1">F31*((1+ANNUAL_INTEREST_RATE)^(1/12)-1)</f>
        <v>234234.89864588724</v>
      </c>
      <c r="E32" s="111">
        <f>C32-D32</f>
        <v>159.47673808108084</v>
      </c>
      <c r="F32" s="111">
        <f>F31-E32</f>
        <v>15299840.52326192</v>
      </c>
      <c r="J32" s="121">
        <v>45658</v>
      </c>
      <c r="K32" s="103">
        <f>$L$23</f>
        <v>255091.40610574093</v>
      </c>
      <c r="L32" s="103">
        <f>N31*((1+$L$5)^(1/12)-1)</f>
        <v>254999.9999999991</v>
      </c>
      <c r="M32" s="103">
        <f>K32-L32</f>
        <v>91.406105741829379</v>
      </c>
      <c r="N32" s="103">
        <f>N31-M32</f>
        <v>15299908.593894258</v>
      </c>
    </row>
    <row r="33" spans="1:14" x14ac:dyDescent="0.25">
      <c r="A33">
        <v>2</v>
      </c>
      <c r="B33" s="112">
        <v>45689</v>
      </c>
      <c r="C33" s="111">
        <f t="shared" si="0"/>
        <v>234394.37538396832</v>
      </c>
      <c r="D33" s="111">
        <f t="shared" si="1"/>
        <v>234232.45714147022</v>
      </c>
      <c r="E33" s="111">
        <f t="shared" ref="E33:E34" si="2">C33-D33</f>
        <v>161.91824249809724</v>
      </c>
      <c r="F33" s="111">
        <f t="shared" ref="F33:F35" si="3">F32-E33</f>
        <v>15299678.605019422</v>
      </c>
      <c r="J33" s="121">
        <v>45689</v>
      </c>
      <c r="K33" s="103">
        <f t="shared" ref="K33:K96" si="4">$L$23</f>
        <v>255091.40610574093</v>
      </c>
      <c r="L33" s="103">
        <f t="shared" ref="L33:L96" si="5">N32*((1+$L$5)^(1/12)-1)</f>
        <v>254998.47656490339</v>
      </c>
      <c r="M33" s="103">
        <f t="shared" ref="M33:M96" si="6">K33-L33</f>
        <v>92.929540837532841</v>
      </c>
      <c r="N33" s="103">
        <f t="shared" ref="N33:N96" si="7">N32-M33</f>
        <v>15299815.664353421</v>
      </c>
    </row>
    <row r="34" spans="1:14" x14ac:dyDescent="0.25">
      <c r="A34">
        <v>3</v>
      </c>
      <c r="B34" s="112">
        <v>45717</v>
      </c>
      <c r="C34" s="111">
        <f t="shared" si="0"/>
        <v>234394.37538396832</v>
      </c>
      <c r="D34" s="111">
        <f t="shared" si="1"/>
        <v>234229.97825891332</v>
      </c>
      <c r="E34" s="111">
        <f t="shared" si="2"/>
        <v>164.39712505499483</v>
      </c>
      <c r="F34" s="111">
        <f t="shared" si="3"/>
        <v>15299514.207894368</v>
      </c>
      <c r="J34" s="121">
        <v>45717</v>
      </c>
      <c r="K34" s="103">
        <f t="shared" si="4"/>
        <v>255091.40610574093</v>
      </c>
      <c r="L34" s="103">
        <f t="shared" si="5"/>
        <v>254996.92773922277</v>
      </c>
      <c r="M34" s="103">
        <f t="shared" si="6"/>
        <v>94.478366518160328</v>
      </c>
      <c r="N34" s="103">
        <f t="shared" si="7"/>
        <v>15299721.185986903</v>
      </c>
    </row>
    <row r="35" spans="1:14" x14ac:dyDescent="0.25">
      <c r="A35">
        <v>4</v>
      </c>
      <c r="B35" s="112">
        <v>45748</v>
      </c>
      <c r="C35" s="111">
        <f t="shared" si="0"/>
        <v>234394.37538396832</v>
      </c>
      <c r="D35" s="111">
        <f t="shared" si="1"/>
        <v>234227.46142597706</v>
      </c>
      <c r="E35" s="111">
        <f t="shared" ref="E35" si="8">C35-D35</f>
        <v>166.91395799125894</v>
      </c>
      <c r="F35" s="111">
        <f t="shared" si="3"/>
        <v>15299347.293936377</v>
      </c>
      <c r="J35" s="121">
        <v>45748</v>
      </c>
      <c r="K35" s="103">
        <f t="shared" si="4"/>
        <v>255091.40610574093</v>
      </c>
      <c r="L35" s="103">
        <f t="shared" si="5"/>
        <v>254995.3530997808</v>
      </c>
      <c r="M35" s="103">
        <f t="shared" si="6"/>
        <v>96.053005960129667</v>
      </c>
      <c r="N35" s="103">
        <f t="shared" si="7"/>
        <v>15299625.132980943</v>
      </c>
    </row>
    <row r="36" spans="1:14" x14ac:dyDescent="0.25">
      <c r="A36">
        <v>5</v>
      </c>
      <c r="B36" s="112">
        <v>45778</v>
      </c>
      <c r="C36" s="111">
        <f t="shared" si="0"/>
        <v>234394.37538396832</v>
      </c>
      <c r="D36" s="111">
        <f t="shared" si="1"/>
        <v>234224.90606166123</v>
      </c>
      <c r="E36" s="111">
        <f t="shared" ref="E36:E99" si="9">C36-D36</f>
        <v>169.46932230709353</v>
      </c>
      <c r="F36" s="111">
        <f t="shared" ref="F36:F99" si="10">F35-E36</f>
        <v>15299177.82461407</v>
      </c>
      <c r="J36" s="121">
        <v>45778</v>
      </c>
      <c r="K36" s="103">
        <f t="shared" si="4"/>
        <v>255091.40610574093</v>
      </c>
      <c r="L36" s="103">
        <f t="shared" si="5"/>
        <v>254993.75221634813</v>
      </c>
      <c r="M36" s="103">
        <f t="shared" si="6"/>
        <v>97.653889392793644</v>
      </c>
      <c r="N36" s="103">
        <f t="shared" si="7"/>
        <v>15299527.479091549</v>
      </c>
    </row>
    <row r="37" spans="1:14" hidden="1" x14ac:dyDescent="0.25">
      <c r="A37">
        <v>6</v>
      </c>
      <c r="B37" s="112">
        <v>45809</v>
      </c>
      <c r="C37" s="111">
        <f t="shared" si="0"/>
        <v>234394.37538396832</v>
      </c>
      <c r="D37" s="111">
        <f t="shared" si="1"/>
        <v>234222.31157607076</v>
      </c>
      <c r="E37" s="111">
        <f t="shared" si="9"/>
        <v>172.06380789756076</v>
      </c>
      <c r="F37" s="111">
        <f t="shared" si="10"/>
        <v>15299005.760806173</v>
      </c>
      <c r="J37" s="121">
        <v>45809</v>
      </c>
      <c r="K37" s="103">
        <f t="shared" si="4"/>
        <v>255091.40610574093</v>
      </c>
      <c r="L37" s="103">
        <f t="shared" si="5"/>
        <v>254992.12465152491</v>
      </c>
      <c r="M37" s="103">
        <f t="shared" si="6"/>
        <v>99.281454216019483</v>
      </c>
      <c r="N37" s="103">
        <f t="shared" si="7"/>
        <v>15299428.197637333</v>
      </c>
    </row>
    <row r="38" spans="1:14" hidden="1" x14ac:dyDescent="0.25">
      <c r="A38">
        <v>7</v>
      </c>
      <c r="B38" s="112">
        <v>45839</v>
      </c>
      <c r="C38" s="111">
        <f t="shared" si="0"/>
        <v>234394.37538396832</v>
      </c>
      <c r="D38" s="111">
        <f t="shared" si="1"/>
        <v>234219.67737027968</v>
      </c>
      <c r="E38" s="111">
        <f t="shared" si="9"/>
        <v>174.69801368864137</v>
      </c>
      <c r="F38" s="111">
        <f t="shared" si="10"/>
        <v>15298831.062792484</v>
      </c>
      <c r="J38" s="121">
        <v>45839</v>
      </c>
      <c r="K38" s="103">
        <f t="shared" si="4"/>
        <v>255091.40610574093</v>
      </c>
      <c r="L38" s="103">
        <f t="shared" si="5"/>
        <v>254990.4699606213</v>
      </c>
      <c r="M38" s="103">
        <f t="shared" si="6"/>
        <v>100.93614511963096</v>
      </c>
      <c r="N38" s="103">
        <f t="shared" si="7"/>
        <v>15299327.261492213</v>
      </c>
    </row>
    <row r="39" spans="1:14" hidden="1" x14ac:dyDescent="0.25">
      <c r="A39">
        <v>8</v>
      </c>
      <c r="B39" s="112">
        <v>45870</v>
      </c>
      <c r="C39" s="111">
        <f t="shared" si="0"/>
        <v>234394.37538396832</v>
      </c>
      <c r="D39" s="111">
        <f t="shared" si="1"/>
        <v>234217.00283619273</v>
      </c>
      <c r="E39" s="111">
        <f t="shared" si="9"/>
        <v>177.37254777559428</v>
      </c>
      <c r="F39" s="111">
        <f t="shared" si="10"/>
        <v>15298653.690244708</v>
      </c>
      <c r="J39" s="121">
        <v>45870</v>
      </c>
      <c r="K39" s="103">
        <f t="shared" si="4"/>
        <v>255091.40610574093</v>
      </c>
      <c r="L39" s="103">
        <f t="shared" si="5"/>
        <v>254988.78769153598</v>
      </c>
      <c r="M39" s="103">
        <f t="shared" si="6"/>
        <v>102.61841420494602</v>
      </c>
      <c r="N39" s="103">
        <f t="shared" si="7"/>
        <v>15299224.643078009</v>
      </c>
    </row>
    <row r="40" spans="1:14" hidden="1" x14ac:dyDescent="0.25">
      <c r="A40">
        <v>9</v>
      </c>
      <c r="B40" s="112">
        <v>45901</v>
      </c>
      <c r="C40" s="111">
        <f t="shared" si="0"/>
        <v>234394.37538396832</v>
      </c>
      <c r="D40" s="111">
        <f t="shared" si="1"/>
        <v>234214.28735640511</v>
      </c>
      <c r="E40" s="111">
        <f t="shared" si="9"/>
        <v>180.08802756320802</v>
      </c>
      <c r="F40" s="111">
        <f t="shared" si="10"/>
        <v>15298473.602217145</v>
      </c>
      <c r="J40" s="121">
        <v>45901</v>
      </c>
      <c r="K40" s="103">
        <f t="shared" si="4"/>
        <v>255091.40610574093</v>
      </c>
      <c r="L40" s="103">
        <f t="shared" si="5"/>
        <v>254987.07738463258</v>
      </c>
      <c r="M40" s="103">
        <f t="shared" si="6"/>
        <v>104.3287211083516</v>
      </c>
      <c r="N40" s="103">
        <f t="shared" si="7"/>
        <v>15299120.314356901</v>
      </c>
    </row>
    <row r="41" spans="1:14" hidden="1" x14ac:dyDescent="0.25">
      <c r="A41">
        <v>10</v>
      </c>
      <c r="B41" s="112">
        <v>45931</v>
      </c>
      <c r="C41" s="111">
        <f t="shared" si="0"/>
        <v>234394.37538396832</v>
      </c>
      <c r="D41" s="111">
        <f t="shared" si="1"/>
        <v>234211.53030405976</v>
      </c>
      <c r="E41" s="111">
        <f t="shared" si="9"/>
        <v>182.84507990855491</v>
      </c>
      <c r="F41" s="111">
        <f t="shared" si="10"/>
        <v>15298290.757137237</v>
      </c>
      <c r="J41" s="121">
        <v>45931</v>
      </c>
      <c r="K41" s="103">
        <f t="shared" si="4"/>
        <v>255091.40610574093</v>
      </c>
      <c r="L41" s="103">
        <f t="shared" si="5"/>
        <v>254985.3385726141</v>
      </c>
      <c r="M41" s="103">
        <f t="shared" si="6"/>
        <v>106.06753312682849</v>
      </c>
      <c r="N41" s="103">
        <f t="shared" si="7"/>
        <v>15299014.246823775</v>
      </c>
    </row>
    <row r="42" spans="1:14" hidden="1" x14ac:dyDescent="0.25">
      <c r="A42">
        <v>11</v>
      </c>
      <c r="B42" s="112">
        <v>45962</v>
      </c>
      <c r="C42" s="111">
        <f t="shared" si="0"/>
        <v>234394.37538396832</v>
      </c>
      <c r="D42" s="111">
        <f t="shared" si="1"/>
        <v>234208.73104270292</v>
      </c>
      <c r="E42" s="111">
        <f t="shared" si="9"/>
        <v>185.64434126540436</v>
      </c>
      <c r="F42" s="111">
        <f t="shared" si="10"/>
        <v>15298105.112795971</v>
      </c>
      <c r="J42" s="121">
        <v>45962</v>
      </c>
      <c r="K42" s="103">
        <f t="shared" si="4"/>
        <v>255091.40610574093</v>
      </c>
      <c r="L42" s="103">
        <f t="shared" si="5"/>
        <v>254983.57078039533</v>
      </c>
      <c r="M42" s="103">
        <f t="shared" si="6"/>
        <v>107.83532534560072</v>
      </c>
      <c r="N42" s="103">
        <f t="shared" si="7"/>
        <v>15298906.411498429</v>
      </c>
    </row>
    <row r="43" spans="1:14" hidden="1" x14ac:dyDescent="0.25">
      <c r="A43">
        <v>12</v>
      </c>
      <c r="B43" s="112">
        <v>45992</v>
      </c>
      <c r="C43" s="111">
        <f t="shared" si="0"/>
        <v>234394.37538396832</v>
      </c>
      <c r="D43" s="111">
        <f t="shared" si="1"/>
        <v>234205.88892613686</v>
      </c>
      <c r="E43" s="111">
        <f t="shared" si="9"/>
        <v>188.48645783145912</v>
      </c>
      <c r="F43" s="111">
        <f t="shared" si="10"/>
        <v>15297916.626338139</v>
      </c>
      <c r="J43" s="121">
        <v>45992</v>
      </c>
      <c r="K43" s="103">
        <f t="shared" si="4"/>
        <v>255091.40610574093</v>
      </c>
      <c r="L43" s="103">
        <f t="shared" si="5"/>
        <v>254981.7735249729</v>
      </c>
      <c r="M43" s="103">
        <f t="shared" si="6"/>
        <v>109.63258076802595</v>
      </c>
      <c r="N43" s="103">
        <f t="shared" si="7"/>
        <v>15298796.778917661</v>
      </c>
    </row>
    <row r="44" spans="1:14" hidden="1" x14ac:dyDescent="0.25">
      <c r="A44">
        <v>13</v>
      </c>
      <c r="B44" s="112">
        <v>46023</v>
      </c>
      <c r="C44" s="111">
        <f t="shared" si="0"/>
        <v>234394.37538396832</v>
      </c>
      <c r="D44" s="111">
        <f t="shared" si="1"/>
        <v>234203.00329827107</v>
      </c>
      <c r="E44" s="111">
        <f t="shared" si="9"/>
        <v>191.37208569725044</v>
      </c>
      <c r="F44" s="111">
        <f t="shared" si="10"/>
        <v>15297725.254252441</v>
      </c>
      <c r="J44" s="121">
        <v>46023</v>
      </c>
      <c r="K44" s="103">
        <f t="shared" si="4"/>
        <v>255091.40610574093</v>
      </c>
      <c r="L44" s="103">
        <f t="shared" si="5"/>
        <v>254979.94631529343</v>
      </c>
      <c r="M44" s="103">
        <f t="shared" si="6"/>
        <v>111.45979044749402</v>
      </c>
      <c r="N44" s="103">
        <f t="shared" si="7"/>
        <v>15298685.319127213</v>
      </c>
    </row>
    <row r="45" spans="1:14" hidden="1" x14ac:dyDescent="0.25">
      <c r="A45">
        <v>14</v>
      </c>
      <c r="B45" s="112">
        <v>46054</v>
      </c>
      <c r="C45" s="111">
        <f t="shared" si="0"/>
        <v>234394.37538396832</v>
      </c>
      <c r="D45" s="111">
        <f t="shared" si="1"/>
        <v>234200.07349297061</v>
      </c>
      <c r="E45" s="111">
        <f t="shared" si="9"/>
        <v>194.30189099771087</v>
      </c>
      <c r="F45" s="111">
        <f t="shared" si="10"/>
        <v>15297530.952361444</v>
      </c>
      <c r="J45" s="121">
        <v>46054</v>
      </c>
      <c r="K45" s="103">
        <f t="shared" si="4"/>
        <v>255091.40610574093</v>
      </c>
      <c r="L45" s="103">
        <f t="shared" si="5"/>
        <v>254978.0886521193</v>
      </c>
      <c r="M45" s="103">
        <f t="shared" si="6"/>
        <v>113.31745362162474</v>
      </c>
      <c r="N45" s="103">
        <f t="shared" si="7"/>
        <v>15298572.001673592</v>
      </c>
    </row>
    <row r="46" spans="1:14" hidden="1" x14ac:dyDescent="0.25">
      <c r="A46">
        <v>15</v>
      </c>
      <c r="B46" s="112">
        <v>46082</v>
      </c>
      <c r="C46" s="111">
        <f t="shared" si="0"/>
        <v>234394.37538396832</v>
      </c>
      <c r="D46" s="111">
        <f t="shared" si="1"/>
        <v>234197.09883390233</v>
      </c>
      <c r="E46" s="111">
        <f t="shared" si="9"/>
        <v>197.27655006598798</v>
      </c>
      <c r="F46" s="111">
        <f t="shared" si="10"/>
        <v>15297333.675811378</v>
      </c>
      <c r="J46" s="121">
        <v>46082</v>
      </c>
      <c r="K46" s="103">
        <f t="shared" si="4"/>
        <v>255091.40610574093</v>
      </c>
      <c r="L46" s="103">
        <f t="shared" si="5"/>
        <v>254976.20002789231</v>
      </c>
      <c r="M46" s="103">
        <f t="shared" si="6"/>
        <v>115.20607784861932</v>
      </c>
      <c r="N46" s="103">
        <f t="shared" si="7"/>
        <v>15298456.795595743</v>
      </c>
    </row>
    <row r="47" spans="1:14" hidden="1" x14ac:dyDescent="0.25">
      <c r="A47">
        <v>16</v>
      </c>
      <c r="B47" s="112">
        <v>46113</v>
      </c>
      <c r="C47" s="111">
        <f t="shared" si="0"/>
        <v>234394.37538396832</v>
      </c>
      <c r="D47" s="111">
        <f t="shared" si="1"/>
        <v>234194.07863437882</v>
      </c>
      <c r="E47" s="111">
        <f t="shared" si="9"/>
        <v>200.29674958949909</v>
      </c>
      <c r="F47" s="111">
        <f t="shared" si="10"/>
        <v>15297133.379061788</v>
      </c>
      <c r="J47" s="121">
        <v>46113</v>
      </c>
      <c r="K47" s="103">
        <f t="shared" si="4"/>
        <v>255091.40610574093</v>
      </c>
      <c r="L47" s="103">
        <f t="shared" si="5"/>
        <v>254974.27992659481</v>
      </c>
      <c r="M47" s="103">
        <f t="shared" si="6"/>
        <v>117.12617914611474</v>
      </c>
      <c r="N47" s="103">
        <f t="shared" si="7"/>
        <v>15298339.669416597</v>
      </c>
    </row>
    <row r="48" spans="1:14" hidden="1" x14ac:dyDescent="0.25">
      <c r="A48">
        <v>17</v>
      </c>
      <c r="B48" s="112">
        <v>46143</v>
      </c>
      <c r="C48" s="111">
        <f t="shared" si="0"/>
        <v>234394.37538396832</v>
      </c>
      <c r="D48" s="111">
        <f t="shared" si="1"/>
        <v>234191.01219719977</v>
      </c>
      <c r="E48" s="111">
        <f t="shared" si="9"/>
        <v>203.36318676854717</v>
      </c>
      <c r="F48" s="111">
        <f t="shared" si="10"/>
        <v>15296930.015875019</v>
      </c>
      <c r="J48" s="121">
        <v>46143</v>
      </c>
      <c r="K48" s="103">
        <f t="shared" si="4"/>
        <v>255091.40610574093</v>
      </c>
      <c r="L48" s="103">
        <f t="shared" si="5"/>
        <v>254972.32782360906</v>
      </c>
      <c r="M48" s="103">
        <f t="shared" si="6"/>
        <v>119.07828213187167</v>
      </c>
      <c r="N48" s="103">
        <f t="shared" si="7"/>
        <v>15298220.591134464</v>
      </c>
    </row>
    <row r="49" spans="1:14" hidden="1" x14ac:dyDescent="0.25">
      <c r="A49">
        <v>18</v>
      </c>
      <c r="B49" s="112">
        <v>46174</v>
      </c>
      <c r="C49" s="111">
        <f t="shared" si="0"/>
        <v>234394.37538396832</v>
      </c>
      <c r="D49" s="111">
        <f t="shared" si="1"/>
        <v>234187.8988144912</v>
      </c>
      <c r="E49" s="111">
        <f t="shared" si="9"/>
        <v>206.47656947711948</v>
      </c>
      <c r="F49" s="111">
        <f t="shared" si="10"/>
        <v>15296723.539305542</v>
      </c>
      <c r="J49" s="121">
        <v>46174</v>
      </c>
      <c r="K49" s="103">
        <f t="shared" si="4"/>
        <v>255091.40610574093</v>
      </c>
      <c r="L49" s="103">
        <f t="shared" si="5"/>
        <v>254970.3431855735</v>
      </c>
      <c r="M49" s="103">
        <f t="shared" si="6"/>
        <v>121.062920167431</v>
      </c>
      <c r="N49" s="103">
        <f t="shared" si="7"/>
        <v>15298099.528214296</v>
      </c>
    </row>
    <row r="50" spans="1:14" hidden="1" x14ac:dyDescent="0.25">
      <c r="A50">
        <v>19</v>
      </c>
      <c r="B50" s="112">
        <v>46204</v>
      </c>
      <c r="C50" s="111">
        <f t="shared" si="0"/>
        <v>234394.37538396832</v>
      </c>
      <c r="D50" s="111">
        <f t="shared" si="1"/>
        <v>234184.7377675419</v>
      </c>
      <c r="E50" s="111">
        <f t="shared" si="9"/>
        <v>209.63761642642203</v>
      </c>
      <c r="F50" s="111">
        <f t="shared" si="10"/>
        <v>15296513.901689116</v>
      </c>
      <c r="J50" s="121">
        <v>46204</v>
      </c>
      <c r="K50" s="103">
        <f t="shared" si="4"/>
        <v>255091.40610574093</v>
      </c>
      <c r="L50" s="103">
        <f t="shared" si="5"/>
        <v>254968.32547023735</v>
      </c>
      <c r="M50" s="103">
        <f t="shared" si="6"/>
        <v>123.08063550357474</v>
      </c>
      <c r="N50" s="103">
        <f t="shared" si="7"/>
        <v>15297976.447578793</v>
      </c>
    </row>
    <row r="51" spans="1:14" hidden="1" x14ac:dyDescent="0.25">
      <c r="A51">
        <v>20</v>
      </c>
      <c r="B51" s="112">
        <v>46235</v>
      </c>
      <c r="C51" s="111">
        <f t="shared" si="0"/>
        <v>234394.37538396832</v>
      </c>
      <c r="D51" s="111">
        <f t="shared" si="1"/>
        <v>234181.52832663761</v>
      </c>
      <c r="E51" s="111">
        <f t="shared" si="9"/>
        <v>212.84705733071314</v>
      </c>
      <c r="F51" s="111">
        <f t="shared" si="10"/>
        <v>15296301.054631785</v>
      </c>
      <c r="J51" s="121">
        <v>46235</v>
      </c>
      <c r="K51" s="103">
        <f t="shared" si="4"/>
        <v>255091.40610574093</v>
      </c>
      <c r="L51" s="103">
        <f t="shared" si="5"/>
        <v>254966.27412631232</v>
      </c>
      <c r="M51" s="103">
        <f t="shared" si="6"/>
        <v>125.13197942861007</v>
      </c>
      <c r="N51" s="103">
        <f t="shared" si="7"/>
        <v>15297851.315599365</v>
      </c>
    </row>
    <row r="52" spans="1:14" hidden="1" x14ac:dyDescent="0.25">
      <c r="A52">
        <v>21</v>
      </c>
      <c r="B52" s="112">
        <v>46266</v>
      </c>
      <c r="C52" s="111">
        <f t="shared" si="0"/>
        <v>234394.37538396832</v>
      </c>
      <c r="D52" s="111">
        <f t="shared" si="1"/>
        <v>234178.26975089245</v>
      </c>
      <c r="E52" s="111">
        <f t="shared" si="9"/>
        <v>216.1056330758729</v>
      </c>
      <c r="F52" s="111">
        <f t="shared" si="10"/>
        <v>15296084.948998708</v>
      </c>
      <c r="J52" s="121">
        <v>46266</v>
      </c>
      <c r="K52" s="103">
        <f t="shared" si="4"/>
        <v>255091.40610574093</v>
      </c>
      <c r="L52" s="103">
        <f t="shared" si="5"/>
        <v>254964.18859332186</v>
      </c>
      <c r="M52" s="103">
        <f t="shared" si="6"/>
        <v>127.21751241906895</v>
      </c>
      <c r="N52" s="103">
        <f t="shared" si="7"/>
        <v>15297724.098086946</v>
      </c>
    </row>
    <row r="53" spans="1:14" hidden="1" x14ac:dyDescent="0.25">
      <c r="A53">
        <v>22</v>
      </c>
      <c r="B53" s="112">
        <v>46296</v>
      </c>
      <c r="C53" s="111">
        <f t="shared" si="0"/>
        <v>234394.37538396832</v>
      </c>
      <c r="D53" s="111">
        <f t="shared" si="1"/>
        <v>234174.96128807802</v>
      </c>
      <c r="E53" s="111">
        <f t="shared" si="9"/>
        <v>219.41409589030081</v>
      </c>
      <c r="F53" s="111">
        <f t="shared" si="10"/>
        <v>15295865.534902819</v>
      </c>
      <c r="J53" s="121">
        <v>46296</v>
      </c>
      <c r="K53" s="103">
        <f t="shared" si="4"/>
        <v>255091.40610574093</v>
      </c>
      <c r="L53" s="103">
        <f t="shared" si="5"/>
        <v>254962.06830144819</v>
      </c>
      <c r="M53" s="103">
        <f t="shared" si="6"/>
        <v>129.33780429273611</v>
      </c>
      <c r="N53" s="103">
        <f t="shared" si="7"/>
        <v>15297594.760282652</v>
      </c>
    </row>
    <row r="54" spans="1:14" hidden="1" x14ac:dyDescent="0.25">
      <c r="A54">
        <v>23</v>
      </c>
      <c r="B54" s="112">
        <v>46327</v>
      </c>
      <c r="C54" s="111">
        <f t="shared" si="0"/>
        <v>234394.37538396832</v>
      </c>
      <c r="D54" s="111">
        <f t="shared" si="1"/>
        <v>234171.60217444977</v>
      </c>
      <c r="E54" s="111">
        <f t="shared" si="9"/>
        <v>222.77320951854927</v>
      </c>
      <c r="F54" s="111">
        <f t="shared" si="10"/>
        <v>15295642.761693301</v>
      </c>
      <c r="J54" s="121">
        <v>46327</v>
      </c>
      <c r="K54" s="103">
        <f t="shared" si="4"/>
        <v>255091.40610574093</v>
      </c>
      <c r="L54" s="103">
        <f t="shared" si="5"/>
        <v>254959.91267137663</v>
      </c>
      <c r="M54" s="103">
        <f t="shared" si="6"/>
        <v>131.49343436429626</v>
      </c>
      <c r="N54" s="103">
        <f t="shared" si="7"/>
        <v>15297463.266848288</v>
      </c>
    </row>
    <row r="55" spans="1:14" hidden="1" x14ac:dyDescent="0.25">
      <c r="A55">
        <v>24</v>
      </c>
      <c r="B55" s="112">
        <v>46357</v>
      </c>
      <c r="C55" s="111">
        <f t="shared" si="0"/>
        <v>234394.37538396832</v>
      </c>
      <c r="D55" s="111">
        <f t="shared" si="1"/>
        <v>234168.19163457054</v>
      </c>
      <c r="E55" s="111">
        <f t="shared" si="9"/>
        <v>226.18374939778005</v>
      </c>
      <c r="F55" s="111">
        <f t="shared" si="10"/>
        <v>15295416.577943902</v>
      </c>
      <c r="J55" s="121">
        <v>46357</v>
      </c>
      <c r="K55" s="103">
        <f t="shared" si="4"/>
        <v>255091.40610574093</v>
      </c>
      <c r="L55" s="103">
        <f t="shared" si="5"/>
        <v>254957.72111413724</v>
      </c>
      <c r="M55" s="103">
        <f t="shared" si="6"/>
        <v>133.6849916036881</v>
      </c>
      <c r="N55" s="103">
        <f t="shared" si="7"/>
        <v>15297329.581856685</v>
      </c>
    </row>
    <row r="56" spans="1:14" hidden="1" x14ac:dyDescent="0.25">
      <c r="A56">
        <v>25</v>
      </c>
      <c r="B56" s="112">
        <v>46388</v>
      </c>
      <c r="C56" s="111">
        <f t="shared" si="0"/>
        <v>234394.37538396832</v>
      </c>
      <c r="D56" s="111">
        <f t="shared" si="1"/>
        <v>234164.7288811316</v>
      </c>
      <c r="E56" s="111">
        <f t="shared" si="9"/>
        <v>229.64650283672381</v>
      </c>
      <c r="F56" s="111">
        <f t="shared" si="10"/>
        <v>15295186.931441065</v>
      </c>
      <c r="J56" s="121">
        <v>46388</v>
      </c>
      <c r="K56" s="103">
        <f t="shared" si="4"/>
        <v>255091.40610574093</v>
      </c>
      <c r="L56" s="103">
        <f t="shared" si="5"/>
        <v>254955.49303094385</v>
      </c>
      <c r="M56" s="103">
        <f t="shared" si="6"/>
        <v>135.91307479707757</v>
      </c>
      <c r="N56" s="103">
        <f t="shared" si="7"/>
        <v>15297193.668781888</v>
      </c>
    </row>
    <row r="57" spans="1:14" hidden="1" x14ac:dyDescent="0.25">
      <c r="A57">
        <v>26</v>
      </c>
      <c r="B57" s="112">
        <v>46419</v>
      </c>
      <c r="C57" s="111">
        <f t="shared" si="0"/>
        <v>234394.37538396832</v>
      </c>
      <c r="D57" s="111">
        <f t="shared" si="1"/>
        <v>234161.21311477103</v>
      </c>
      <c r="E57" s="111">
        <f t="shared" si="9"/>
        <v>233.16226919728797</v>
      </c>
      <c r="F57" s="111">
        <f t="shared" si="10"/>
        <v>15294953.769171868</v>
      </c>
      <c r="J57" s="121">
        <v>46419</v>
      </c>
      <c r="K57" s="103">
        <f t="shared" si="4"/>
        <v>255091.40610574093</v>
      </c>
      <c r="L57" s="103">
        <f t="shared" si="5"/>
        <v>254953.22781303056</v>
      </c>
      <c r="M57" s="103">
        <f t="shared" si="6"/>
        <v>138.17829271036317</v>
      </c>
      <c r="N57" s="103">
        <f t="shared" si="7"/>
        <v>15297055.490489177</v>
      </c>
    </row>
    <row r="58" spans="1:14" hidden="1" x14ac:dyDescent="0.25">
      <c r="A58">
        <v>27</v>
      </c>
      <c r="B58" s="112">
        <v>46447</v>
      </c>
      <c r="C58" s="111">
        <f t="shared" si="0"/>
        <v>234394.37538396832</v>
      </c>
      <c r="D58" s="111">
        <f t="shared" si="1"/>
        <v>234157.64352388913</v>
      </c>
      <c r="E58" s="111">
        <f t="shared" si="9"/>
        <v>236.73186007919139</v>
      </c>
      <c r="F58" s="111">
        <f t="shared" si="10"/>
        <v>15294717.037311789</v>
      </c>
      <c r="J58" s="121">
        <v>46447</v>
      </c>
      <c r="K58" s="103">
        <f t="shared" si="4"/>
        <v>255091.40610574093</v>
      </c>
      <c r="L58" s="103">
        <f t="shared" si="5"/>
        <v>254950.92484148539</v>
      </c>
      <c r="M58" s="103">
        <f t="shared" si="6"/>
        <v>140.48126425553346</v>
      </c>
      <c r="N58" s="103">
        <f t="shared" si="7"/>
        <v>15296915.009224921</v>
      </c>
    </row>
    <row r="59" spans="1:14" hidden="1" x14ac:dyDescent="0.25">
      <c r="A59">
        <v>28</v>
      </c>
      <c r="B59" s="112">
        <v>46478</v>
      </c>
      <c r="C59" s="111">
        <f t="shared" si="0"/>
        <v>234394.37538396832</v>
      </c>
      <c r="D59" s="111">
        <f t="shared" si="1"/>
        <v>234154.0192844609</v>
      </c>
      <c r="E59" s="111">
        <f t="shared" si="9"/>
        <v>240.35609950742219</v>
      </c>
      <c r="F59" s="111">
        <f t="shared" si="10"/>
        <v>15294476.681212282</v>
      </c>
      <c r="J59" s="121">
        <v>46478</v>
      </c>
      <c r="K59" s="103">
        <f t="shared" si="4"/>
        <v>255091.40610574093</v>
      </c>
      <c r="L59" s="103">
        <f t="shared" si="5"/>
        <v>254948.58348708111</v>
      </c>
      <c r="M59" s="103">
        <f t="shared" si="6"/>
        <v>142.82261865981854</v>
      </c>
      <c r="N59" s="103">
        <f t="shared" si="7"/>
        <v>15296772.186606262</v>
      </c>
    </row>
    <row r="60" spans="1:14" hidden="1" x14ac:dyDescent="0.25">
      <c r="A60">
        <v>29</v>
      </c>
      <c r="B60" s="112">
        <v>46508</v>
      </c>
      <c r="C60" s="111">
        <f t="shared" si="0"/>
        <v>234394.37538396832</v>
      </c>
      <c r="D60" s="111">
        <f t="shared" si="1"/>
        <v>234150.33955984606</v>
      </c>
      <c r="E60" s="111">
        <f t="shared" si="9"/>
        <v>244.0358241222566</v>
      </c>
      <c r="F60" s="111">
        <f t="shared" si="10"/>
        <v>15294232.64538816</v>
      </c>
      <c r="J60" s="121">
        <v>46508</v>
      </c>
      <c r="K60" s="103">
        <f t="shared" si="4"/>
        <v>255091.40610574093</v>
      </c>
      <c r="L60" s="103">
        <f t="shared" si="5"/>
        <v>254946.20311010347</v>
      </c>
      <c r="M60" s="103">
        <f t="shared" si="6"/>
        <v>145.20299563746084</v>
      </c>
      <c r="N60" s="103">
        <f t="shared" si="7"/>
        <v>15296626.983610624</v>
      </c>
    </row>
    <row r="61" spans="1:14" hidden="1" x14ac:dyDescent="0.25">
      <c r="A61">
        <v>30</v>
      </c>
      <c r="B61" s="112">
        <v>46539</v>
      </c>
      <c r="C61" s="111">
        <f t="shared" si="0"/>
        <v>234394.37538396832</v>
      </c>
      <c r="D61" s="111">
        <f t="shared" si="1"/>
        <v>234146.60350059578</v>
      </c>
      <c r="E61" s="111">
        <f t="shared" si="9"/>
        <v>247.77188337253756</v>
      </c>
      <c r="F61" s="111">
        <f t="shared" si="10"/>
        <v>15293984.873504788</v>
      </c>
      <c r="J61" s="121">
        <v>46539</v>
      </c>
      <c r="K61" s="103">
        <f t="shared" si="4"/>
        <v>255091.40610574093</v>
      </c>
      <c r="L61" s="103">
        <f t="shared" si="5"/>
        <v>254943.78306017618</v>
      </c>
      <c r="M61" s="103">
        <f t="shared" si="6"/>
        <v>147.62304556474555</v>
      </c>
      <c r="N61" s="103">
        <f t="shared" si="7"/>
        <v>15296479.360565059</v>
      </c>
    </row>
    <row r="62" spans="1:14" hidden="1" x14ac:dyDescent="0.25">
      <c r="A62">
        <v>31</v>
      </c>
      <c r="B62" s="112">
        <v>46569</v>
      </c>
      <c r="C62" s="111">
        <f t="shared" si="0"/>
        <v>234394.37538396832</v>
      </c>
      <c r="D62" s="111">
        <f t="shared" si="1"/>
        <v>234142.81024425663</v>
      </c>
      <c r="E62" s="111">
        <f t="shared" si="9"/>
        <v>251.56513971168897</v>
      </c>
      <c r="F62" s="111">
        <f t="shared" si="10"/>
        <v>15293733.308365077</v>
      </c>
      <c r="J62" s="121">
        <v>46569</v>
      </c>
      <c r="K62" s="103">
        <f t="shared" si="4"/>
        <v>255091.40610574093</v>
      </c>
      <c r="L62" s="103">
        <f t="shared" si="5"/>
        <v>254941.32267608342</v>
      </c>
      <c r="M62" s="103">
        <f t="shared" si="6"/>
        <v>150.08342965750489</v>
      </c>
      <c r="N62" s="103">
        <f t="shared" si="7"/>
        <v>15296329.277135402</v>
      </c>
    </row>
    <row r="63" spans="1:14" hidden="1" x14ac:dyDescent="0.25">
      <c r="A63">
        <v>32</v>
      </c>
      <c r="B63" s="112">
        <v>46600</v>
      </c>
      <c r="C63" s="111">
        <f t="shared" si="0"/>
        <v>234394.37538396832</v>
      </c>
      <c r="D63" s="111">
        <f t="shared" si="1"/>
        <v>234138.95891517148</v>
      </c>
      <c r="E63" s="111">
        <f t="shared" si="9"/>
        <v>255.41646879684413</v>
      </c>
      <c r="F63" s="111">
        <f t="shared" si="10"/>
        <v>15293477.89189628</v>
      </c>
      <c r="J63" s="121">
        <v>46600</v>
      </c>
      <c r="K63" s="103">
        <f t="shared" si="4"/>
        <v>255091.40610574093</v>
      </c>
      <c r="L63" s="103">
        <f t="shared" si="5"/>
        <v>254938.82128558913</v>
      </c>
      <c r="M63" s="103">
        <f t="shared" si="6"/>
        <v>152.5848201517947</v>
      </c>
      <c r="N63" s="103">
        <f t="shared" si="7"/>
        <v>15296176.692315251</v>
      </c>
    </row>
    <row r="64" spans="1:14" hidden="1" x14ac:dyDescent="0.25">
      <c r="A64">
        <v>33</v>
      </c>
      <c r="B64" s="112">
        <v>46631</v>
      </c>
      <c r="C64" s="111">
        <f t="shared" si="0"/>
        <v>234394.37538396832</v>
      </c>
      <c r="D64" s="111">
        <f t="shared" si="1"/>
        <v>234135.04862427729</v>
      </c>
      <c r="E64" s="111">
        <f t="shared" si="9"/>
        <v>259.32675969103002</v>
      </c>
      <c r="F64" s="111">
        <f t="shared" si="10"/>
        <v>15293218.565136589</v>
      </c>
      <c r="J64" s="121">
        <v>46631</v>
      </c>
      <c r="K64" s="103">
        <f t="shared" si="4"/>
        <v>255091.40610574093</v>
      </c>
      <c r="L64" s="103">
        <f t="shared" si="5"/>
        <v>254936.27820525327</v>
      </c>
      <c r="M64" s="103">
        <f t="shared" si="6"/>
        <v>155.12790048765601</v>
      </c>
      <c r="N64" s="103">
        <f t="shared" si="7"/>
        <v>15296021.564414764</v>
      </c>
    </row>
    <row r="65" spans="1:14" hidden="1" x14ac:dyDescent="0.25">
      <c r="A65">
        <v>34</v>
      </c>
      <c r="B65" s="112">
        <v>46661</v>
      </c>
      <c r="C65" s="111">
        <f t="shared" si="0"/>
        <v>234394.37538396832</v>
      </c>
      <c r="D65" s="111">
        <f t="shared" si="1"/>
        <v>234131.0784689</v>
      </c>
      <c r="E65" s="111">
        <f t="shared" si="9"/>
        <v>263.29691506832023</v>
      </c>
      <c r="F65" s="111">
        <f t="shared" si="10"/>
        <v>15292955.26822152</v>
      </c>
      <c r="J65" s="121">
        <v>46661</v>
      </c>
      <c r="K65" s="103">
        <f t="shared" si="4"/>
        <v>255091.40610574093</v>
      </c>
      <c r="L65" s="103">
        <f t="shared" si="5"/>
        <v>254933.69274024517</v>
      </c>
      <c r="M65" s="103">
        <f t="shared" si="6"/>
        <v>157.7133654957579</v>
      </c>
      <c r="N65" s="103">
        <f t="shared" si="7"/>
        <v>15295863.851049269</v>
      </c>
    </row>
    <row r="66" spans="1:14" hidden="1" x14ac:dyDescent="0.25">
      <c r="A66">
        <v>35</v>
      </c>
      <c r="B66" s="112">
        <v>46692</v>
      </c>
      <c r="C66" s="111">
        <f t="shared" si="0"/>
        <v>234394.37538396832</v>
      </c>
      <c r="D66" s="111">
        <f t="shared" si="1"/>
        <v>234127.04753254607</v>
      </c>
      <c r="E66" s="111">
        <f t="shared" si="9"/>
        <v>267.32785142224748</v>
      </c>
      <c r="F66" s="111">
        <f t="shared" si="10"/>
        <v>15292687.940370098</v>
      </c>
      <c r="J66" s="121">
        <v>46692</v>
      </c>
      <c r="K66" s="103">
        <f t="shared" si="4"/>
        <v>255091.40610574093</v>
      </c>
      <c r="L66" s="103">
        <f t="shared" si="5"/>
        <v>254931.06418415357</v>
      </c>
      <c r="M66" s="103">
        <f t="shared" si="6"/>
        <v>160.34192158735823</v>
      </c>
      <c r="N66" s="103">
        <f t="shared" si="7"/>
        <v>15295703.509127682</v>
      </c>
    </row>
    <row r="67" spans="1:14" hidden="1" x14ac:dyDescent="0.25">
      <c r="A67">
        <v>36</v>
      </c>
      <c r="B67" s="112">
        <v>46722</v>
      </c>
      <c r="C67" s="111">
        <f t="shared" si="0"/>
        <v>234394.37538396832</v>
      </c>
      <c r="D67" s="111">
        <f t="shared" si="1"/>
        <v>234122.95488469099</v>
      </c>
      <c r="E67" s="111">
        <f t="shared" si="9"/>
        <v>271.42049927733024</v>
      </c>
      <c r="F67" s="111">
        <f t="shared" si="10"/>
        <v>15292416.51987082</v>
      </c>
      <c r="J67" s="121">
        <v>46722</v>
      </c>
      <c r="K67" s="103">
        <f t="shared" si="4"/>
        <v>255091.40610574093</v>
      </c>
      <c r="L67" s="103">
        <f t="shared" si="5"/>
        <v>254928.39181879378</v>
      </c>
      <c r="M67" s="103">
        <f t="shared" si="6"/>
        <v>163.01428694714559</v>
      </c>
      <c r="N67" s="103">
        <f t="shared" si="7"/>
        <v>15295540.494840736</v>
      </c>
    </row>
    <row r="68" spans="1:14" hidden="1" x14ac:dyDescent="0.25">
      <c r="A68">
        <v>37</v>
      </c>
      <c r="B68" s="112">
        <v>46753</v>
      </c>
      <c r="C68" s="111">
        <f t="shared" si="0"/>
        <v>234394.37538396832</v>
      </c>
      <c r="D68" s="111">
        <f t="shared" si="1"/>
        <v>234118.79958056426</v>
      </c>
      <c r="E68" s="111">
        <f t="shared" si="9"/>
        <v>275.57580340406275</v>
      </c>
      <c r="F68" s="111">
        <f t="shared" si="10"/>
        <v>15292140.944067415</v>
      </c>
      <c r="J68" s="121">
        <v>46753</v>
      </c>
      <c r="K68" s="103">
        <f t="shared" si="4"/>
        <v>255091.40610574093</v>
      </c>
      <c r="L68" s="103">
        <f t="shared" si="5"/>
        <v>254925.67491401135</v>
      </c>
      <c r="M68" s="103">
        <f t="shared" si="6"/>
        <v>165.73119172957377</v>
      </c>
      <c r="N68" s="103">
        <f t="shared" si="7"/>
        <v>15295374.763649005</v>
      </c>
    </row>
    <row r="69" spans="1:14" hidden="1" x14ac:dyDescent="0.25">
      <c r="A69">
        <v>38</v>
      </c>
      <c r="B69" s="112">
        <v>46784</v>
      </c>
      <c r="C69" s="111">
        <f t="shared" si="0"/>
        <v>234394.37538396832</v>
      </c>
      <c r="D69" s="111">
        <f t="shared" si="1"/>
        <v>234114.58066093159</v>
      </c>
      <c r="E69" s="111">
        <f t="shared" si="9"/>
        <v>279.7947230367281</v>
      </c>
      <c r="F69" s="111">
        <f t="shared" si="10"/>
        <v>15291861.149344377</v>
      </c>
      <c r="J69" s="121">
        <v>46784</v>
      </c>
      <c r="K69" s="103">
        <f t="shared" si="4"/>
        <v>255091.40610574093</v>
      </c>
      <c r="L69" s="103">
        <f t="shared" si="5"/>
        <v>254922.91272748253</v>
      </c>
      <c r="M69" s="103">
        <f t="shared" si="6"/>
        <v>168.49337825839757</v>
      </c>
      <c r="N69" s="103">
        <f t="shared" si="7"/>
        <v>15295206.270270746</v>
      </c>
    </row>
    <row r="70" spans="1:14" hidden="1" x14ac:dyDescent="0.25">
      <c r="A70">
        <v>39</v>
      </c>
      <c r="B70" s="112">
        <v>46813</v>
      </c>
      <c r="C70" s="111">
        <f t="shared" si="0"/>
        <v>234394.37538396832</v>
      </c>
      <c r="D70" s="111">
        <f t="shared" si="1"/>
        <v>234110.29715187327</v>
      </c>
      <c r="E70" s="111">
        <f t="shared" si="9"/>
        <v>284.07823209505295</v>
      </c>
      <c r="F70" s="111">
        <f t="shared" si="10"/>
        <v>15291577.071112283</v>
      </c>
      <c r="J70" s="121">
        <v>46813</v>
      </c>
      <c r="K70" s="103">
        <f t="shared" si="4"/>
        <v>255091.40610574093</v>
      </c>
      <c r="L70" s="103">
        <f t="shared" si="5"/>
        <v>254920.10450451152</v>
      </c>
      <c r="M70" s="103">
        <f t="shared" si="6"/>
        <v>171.30160122941015</v>
      </c>
      <c r="N70" s="103">
        <f t="shared" si="7"/>
        <v>15295034.968669517</v>
      </c>
    </row>
    <row r="71" spans="1:14" hidden="1" x14ac:dyDescent="0.25">
      <c r="A71">
        <v>40</v>
      </c>
      <c r="B71" s="112">
        <v>46844</v>
      </c>
      <c r="C71" s="111">
        <f t="shared" si="0"/>
        <v>234394.37538396832</v>
      </c>
      <c r="D71" s="111">
        <f t="shared" si="1"/>
        <v>234105.9480645594</v>
      </c>
      <c r="E71" s="111">
        <f t="shared" si="9"/>
        <v>288.42731940891827</v>
      </c>
      <c r="F71" s="111">
        <f t="shared" si="10"/>
        <v>15291288.643792873</v>
      </c>
      <c r="J71" s="121">
        <v>46844</v>
      </c>
      <c r="K71" s="103">
        <f t="shared" si="4"/>
        <v>255091.40610574093</v>
      </c>
      <c r="L71" s="103">
        <f t="shared" si="5"/>
        <v>254917.24947782437</v>
      </c>
      <c r="M71" s="103">
        <f t="shared" si="6"/>
        <v>174.15662791655632</v>
      </c>
      <c r="N71" s="103">
        <f t="shared" si="7"/>
        <v>15294860.812041601</v>
      </c>
    </row>
    <row r="72" spans="1:14" hidden="1" x14ac:dyDescent="0.25">
      <c r="A72">
        <v>41</v>
      </c>
      <c r="B72" s="112">
        <v>46874</v>
      </c>
      <c r="C72" s="111">
        <f t="shared" si="0"/>
        <v>234394.37538396832</v>
      </c>
      <c r="D72" s="111">
        <f t="shared" si="1"/>
        <v>234101.53239502158</v>
      </c>
      <c r="E72" s="111">
        <f t="shared" si="9"/>
        <v>292.84298894673702</v>
      </c>
      <c r="F72" s="111">
        <f t="shared" si="10"/>
        <v>15290995.800803926</v>
      </c>
      <c r="J72" s="121">
        <v>46874</v>
      </c>
      <c r="K72" s="103">
        <f t="shared" si="4"/>
        <v>255091.40610574093</v>
      </c>
      <c r="L72" s="103">
        <f t="shared" si="5"/>
        <v>254914.34686735913</v>
      </c>
      <c r="M72" s="103">
        <f t="shared" si="6"/>
        <v>177.05923838180024</v>
      </c>
      <c r="N72" s="103">
        <f t="shared" si="7"/>
        <v>15294683.752803219</v>
      </c>
    </row>
    <row r="73" spans="1:14" hidden="1" x14ac:dyDescent="0.25">
      <c r="A73">
        <v>42</v>
      </c>
      <c r="B73" s="112">
        <v>46905</v>
      </c>
      <c r="C73" s="111">
        <f t="shared" si="0"/>
        <v>234394.37538396832</v>
      </c>
      <c r="D73" s="111">
        <f t="shared" si="1"/>
        <v>234097.04912392126</v>
      </c>
      <c r="E73" s="111">
        <f t="shared" si="9"/>
        <v>297.32626004706253</v>
      </c>
      <c r="F73" s="111">
        <f t="shared" si="10"/>
        <v>15290698.474543879</v>
      </c>
      <c r="J73" s="121">
        <v>46905</v>
      </c>
      <c r="K73" s="103">
        <f t="shared" si="4"/>
        <v>255091.40610574093</v>
      </c>
      <c r="L73" s="103">
        <f t="shared" si="5"/>
        <v>254911.39588005276</v>
      </c>
      <c r="M73" s="103">
        <f t="shared" si="6"/>
        <v>180.01022568816552</v>
      </c>
      <c r="N73" s="103">
        <f t="shared" si="7"/>
        <v>15294503.74257753</v>
      </c>
    </row>
    <row r="74" spans="1:14" hidden="1" x14ac:dyDescent="0.25">
      <c r="A74">
        <v>43</v>
      </c>
      <c r="B74" s="112">
        <v>46935</v>
      </c>
      <c r="C74" s="111">
        <f t="shared" si="0"/>
        <v>234394.37538396832</v>
      </c>
      <c r="D74" s="111">
        <f t="shared" si="1"/>
        <v>234092.49721631425</v>
      </c>
      <c r="E74" s="111">
        <f t="shared" si="9"/>
        <v>301.87816765406751</v>
      </c>
      <c r="F74" s="111">
        <f t="shared" si="10"/>
        <v>15290396.596376225</v>
      </c>
      <c r="J74" s="121">
        <v>46935</v>
      </c>
      <c r="K74" s="103">
        <f t="shared" si="4"/>
        <v>255091.40610574093</v>
      </c>
      <c r="L74" s="103">
        <f t="shared" si="5"/>
        <v>254908.3957096246</v>
      </c>
      <c r="M74" s="103">
        <f t="shared" si="6"/>
        <v>183.01039611632586</v>
      </c>
      <c r="N74" s="103">
        <f t="shared" si="7"/>
        <v>15294320.732181415</v>
      </c>
    </row>
    <row r="75" spans="1:14" hidden="1" x14ac:dyDescent="0.25">
      <c r="A75">
        <v>44</v>
      </c>
      <c r="B75" s="112">
        <v>46966</v>
      </c>
      <c r="C75" s="111">
        <f t="shared" si="0"/>
        <v>234394.37538396832</v>
      </c>
      <c r="D75" s="111">
        <f t="shared" si="1"/>
        <v>234087.87562141207</v>
      </c>
      <c r="E75" s="111">
        <f t="shared" si="9"/>
        <v>306.4997625562537</v>
      </c>
      <c r="F75" s="111">
        <f t="shared" si="10"/>
        <v>15290090.09661367</v>
      </c>
      <c r="J75" s="121">
        <v>46966</v>
      </c>
      <c r="K75" s="103">
        <f t="shared" si="4"/>
        <v>255091.40610574093</v>
      </c>
      <c r="L75" s="103">
        <f t="shared" si="5"/>
        <v>254905.34553635601</v>
      </c>
      <c r="M75" s="103">
        <f t="shared" si="6"/>
        <v>186.06056938492111</v>
      </c>
      <c r="N75" s="103">
        <f t="shared" si="7"/>
        <v>15294134.67161203</v>
      </c>
    </row>
    <row r="76" spans="1:14" hidden="1" x14ac:dyDescent="0.25">
      <c r="A76">
        <v>45</v>
      </c>
      <c r="B76" s="112">
        <v>46997</v>
      </c>
      <c r="C76" s="111">
        <f t="shared" si="0"/>
        <v>234394.37538396832</v>
      </c>
      <c r="D76" s="111">
        <f t="shared" si="1"/>
        <v>234083.18327233903</v>
      </c>
      <c r="E76" s="111">
        <f t="shared" si="9"/>
        <v>311.19211162929423</v>
      </c>
      <c r="F76" s="111">
        <f t="shared" si="10"/>
        <v>15289778.90450204</v>
      </c>
      <c r="J76" s="121">
        <v>46997</v>
      </c>
      <c r="K76" s="103">
        <f t="shared" si="4"/>
        <v>255091.40610574093</v>
      </c>
      <c r="L76" s="103">
        <f t="shared" si="5"/>
        <v>254902.24452686627</v>
      </c>
      <c r="M76" s="103">
        <f t="shared" si="6"/>
        <v>189.1615788746567</v>
      </c>
      <c r="N76" s="103">
        <f t="shared" si="7"/>
        <v>15293945.510033155</v>
      </c>
    </row>
    <row r="77" spans="1:14" hidden="1" x14ac:dyDescent="0.25">
      <c r="A77">
        <v>46</v>
      </c>
      <c r="B77" s="112">
        <v>47027</v>
      </c>
      <c r="C77" s="111">
        <f t="shared" si="0"/>
        <v>234394.37538396832</v>
      </c>
      <c r="D77" s="111">
        <f t="shared" si="1"/>
        <v>234078.4190858863</v>
      </c>
      <c r="E77" s="111">
        <f t="shared" si="9"/>
        <v>315.9562980820192</v>
      </c>
      <c r="F77" s="111">
        <f t="shared" si="10"/>
        <v>15289462.948203959</v>
      </c>
      <c r="J77" s="121">
        <v>47027</v>
      </c>
      <c r="K77" s="103">
        <f t="shared" si="4"/>
        <v>255091.40610574093</v>
      </c>
      <c r="L77" s="103">
        <f t="shared" si="5"/>
        <v>254899.091833885</v>
      </c>
      <c r="M77" s="103">
        <f t="shared" si="6"/>
        <v>192.31427185592474</v>
      </c>
      <c r="N77" s="103">
        <f t="shared" si="7"/>
        <v>15293753.195761299</v>
      </c>
    </row>
    <row r="78" spans="1:14" hidden="1" x14ac:dyDescent="0.25">
      <c r="A78">
        <v>47</v>
      </c>
      <c r="B78" s="112">
        <v>47058</v>
      </c>
      <c r="C78" s="111">
        <f t="shared" si="0"/>
        <v>234394.37538396832</v>
      </c>
      <c r="D78" s="111">
        <f t="shared" si="1"/>
        <v>234073.58196226161</v>
      </c>
      <c r="E78" s="111">
        <f t="shared" si="9"/>
        <v>320.79342170670861</v>
      </c>
      <c r="F78" s="111">
        <f t="shared" si="10"/>
        <v>15289142.154782252</v>
      </c>
      <c r="J78" s="121">
        <v>47058</v>
      </c>
      <c r="K78" s="103">
        <f t="shared" si="4"/>
        <v>255091.40610574093</v>
      </c>
      <c r="L78" s="103">
        <f t="shared" si="5"/>
        <v>254895.88659602075</v>
      </c>
      <c r="M78" s="103">
        <f t="shared" si="6"/>
        <v>195.51950972017949</v>
      </c>
      <c r="N78" s="103">
        <f t="shared" si="7"/>
        <v>15293557.676251579</v>
      </c>
    </row>
    <row r="79" spans="1:14" hidden="1" x14ac:dyDescent="0.25">
      <c r="A79">
        <v>48</v>
      </c>
      <c r="B79" s="112">
        <v>47088</v>
      </c>
      <c r="C79" s="111">
        <f t="shared" si="0"/>
        <v>234394.37538396832</v>
      </c>
      <c r="D79" s="111">
        <f t="shared" si="1"/>
        <v>234068.6707848355</v>
      </c>
      <c r="E79" s="111">
        <f t="shared" si="9"/>
        <v>325.70459913281957</v>
      </c>
      <c r="F79" s="111">
        <f t="shared" si="10"/>
        <v>15288816.45018312</v>
      </c>
      <c r="J79" s="121">
        <v>47088</v>
      </c>
      <c r="K79" s="103">
        <f t="shared" si="4"/>
        <v>255091.40610574093</v>
      </c>
      <c r="L79" s="103">
        <f t="shared" si="5"/>
        <v>254892.62793752542</v>
      </c>
      <c r="M79" s="103">
        <f t="shared" si="6"/>
        <v>198.77816821550368</v>
      </c>
      <c r="N79" s="103">
        <f t="shared" si="7"/>
        <v>15293358.898083363</v>
      </c>
    </row>
    <row r="80" spans="1:14" hidden="1" x14ac:dyDescent="0.25">
      <c r="A80">
        <v>49</v>
      </c>
      <c r="B80" s="112">
        <v>47119</v>
      </c>
      <c r="C80" s="111">
        <f t="shared" si="0"/>
        <v>234394.37538396832</v>
      </c>
      <c r="D80" s="111">
        <f t="shared" si="1"/>
        <v>234063.68441988344</v>
      </c>
      <c r="E80" s="111">
        <f t="shared" si="9"/>
        <v>330.6909640848753</v>
      </c>
      <c r="F80" s="111">
        <f t="shared" si="10"/>
        <v>15288485.759219036</v>
      </c>
      <c r="J80" s="121">
        <v>47119</v>
      </c>
      <c r="K80" s="103">
        <f t="shared" si="4"/>
        <v>255091.40610574093</v>
      </c>
      <c r="L80" s="103">
        <f t="shared" si="5"/>
        <v>254889.31496805514</v>
      </c>
      <c r="M80" s="103">
        <f t="shared" si="6"/>
        <v>202.09113768578391</v>
      </c>
      <c r="N80" s="103">
        <f t="shared" si="7"/>
        <v>15293156.806945678</v>
      </c>
    </row>
    <row r="81" spans="1:14" hidden="1" x14ac:dyDescent="0.25">
      <c r="A81">
        <v>50</v>
      </c>
      <c r="B81" s="112">
        <v>47150</v>
      </c>
      <c r="C81" s="111">
        <f t="shared" si="0"/>
        <v>234394.37538396832</v>
      </c>
      <c r="D81" s="111">
        <f t="shared" si="1"/>
        <v>234058.62171632427</v>
      </c>
      <c r="E81" s="111">
        <f t="shared" si="9"/>
        <v>335.75366764405044</v>
      </c>
      <c r="F81" s="111">
        <f t="shared" si="10"/>
        <v>15288150.005551392</v>
      </c>
      <c r="J81" s="121">
        <v>47150</v>
      </c>
      <c r="K81" s="103">
        <f t="shared" si="4"/>
        <v>255091.40610574093</v>
      </c>
      <c r="L81" s="103">
        <f t="shared" si="5"/>
        <v>254885.94678242705</v>
      </c>
      <c r="M81" s="103">
        <f t="shared" si="6"/>
        <v>205.45932331387303</v>
      </c>
      <c r="N81" s="103">
        <f t="shared" si="7"/>
        <v>15292951.347622365</v>
      </c>
    </row>
    <row r="82" spans="1:14" hidden="1" x14ac:dyDescent="0.25">
      <c r="A82">
        <v>51</v>
      </c>
      <c r="B82" s="112">
        <v>47178</v>
      </c>
      <c r="C82" s="111">
        <f t="shared" si="0"/>
        <v>234394.37538396832</v>
      </c>
      <c r="D82" s="111">
        <f t="shared" si="1"/>
        <v>234053.48150545431</v>
      </c>
      <c r="E82" s="111">
        <f t="shared" si="9"/>
        <v>340.89387851400534</v>
      </c>
      <c r="F82" s="111">
        <f t="shared" si="10"/>
        <v>15287809.111672878</v>
      </c>
      <c r="J82" s="121">
        <v>47178</v>
      </c>
      <c r="K82" s="103">
        <f t="shared" si="4"/>
        <v>255091.40610574093</v>
      </c>
      <c r="L82" s="103">
        <f t="shared" si="5"/>
        <v>254882.52246037184</v>
      </c>
      <c r="M82" s="103">
        <f t="shared" si="6"/>
        <v>208.88364536908921</v>
      </c>
      <c r="N82" s="103">
        <f t="shared" si="7"/>
        <v>15292742.463976996</v>
      </c>
    </row>
    <row r="83" spans="1:14" hidden="1" x14ac:dyDescent="0.25">
      <c r="A83">
        <v>52</v>
      </c>
      <c r="B83" s="112">
        <v>47209</v>
      </c>
      <c r="C83" s="111">
        <f t="shared" si="0"/>
        <v>234394.37538396832</v>
      </c>
      <c r="D83" s="111">
        <f t="shared" si="1"/>
        <v>234048.26260067767</v>
      </c>
      <c r="E83" s="111">
        <f t="shared" si="9"/>
        <v>346.11278329064953</v>
      </c>
      <c r="F83" s="111">
        <f t="shared" si="10"/>
        <v>15287462.998889588</v>
      </c>
      <c r="J83" s="121">
        <v>47209</v>
      </c>
      <c r="K83" s="103">
        <f t="shared" si="4"/>
        <v>255091.40610574093</v>
      </c>
      <c r="L83" s="103">
        <f t="shared" si="5"/>
        <v>254879.04106628237</v>
      </c>
      <c r="M83" s="103">
        <f t="shared" si="6"/>
        <v>212.36503945855657</v>
      </c>
      <c r="N83" s="103">
        <f t="shared" si="7"/>
        <v>15292530.098937538</v>
      </c>
    </row>
    <row r="84" spans="1:14" hidden="1" x14ac:dyDescent="0.25">
      <c r="A84">
        <v>53</v>
      </c>
      <c r="B84" s="112">
        <v>47239</v>
      </c>
      <c r="C84" s="111">
        <f t="shared" si="0"/>
        <v>234394.37538396832</v>
      </c>
      <c r="D84" s="111">
        <f t="shared" si="1"/>
        <v>234042.96379723228</v>
      </c>
      <c r="E84" s="111">
        <f t="shared" si="9"/>
        <v>351.41158673603786</v>
      </c>
      <c r="F84" s="111">
        <f t="shared" si="10"/>
        <v>15287111.587302852</v>
      </c>
      <c r="J84" s="121">
        <v>47239</v>
      </c>
      <c r="K84" s="103">
        <f t="shared" si="4"/>
        <v>255091.40610574093</v>
      </c>
      <c r="L84" s="103">
        <f t="shared" si="5"/>
        <v>254875.50164895804</v>
      </c>
      <c r="M84" s="103">
        <f t="shared" si="6"/>
        <v>215.90445678288233</v>
      </c>
      <c r="N84" s="103">
        <f t="shared" si="7"/>
        <v>15292314.194480754</v>
      </c>
    </row>
    <row r="85" spans="1:14" hidden="1" x14ac:dyDescent="0.25">
      <c r="A85">
        <v>54</v>
      </c>
      <c r="B85" s="112">
        <v>47270</v>
      </c>
      <c r="C85" s="111">
        <f t="shared" si="0"/>
        <v>234394.37538396832</v>
      </c>
      <c r="D85" s="111">
        <f t="shared" si="1"/>
        <v>234037.58387191189</v>
      </c>
      <c r="E85" s="111">
        <f t="shared" si="9"/>
        <v>356.79151205642847</v>
      </c>
      <c r="F85" s="111">
        <f t="shared" si="10"/>
        <v>15286754.795790795</v>
      </c>
      <c r="J85" s="121">
        <v>47270</v>
      </c>
      <c r="K85" s="103">
        <f t="shared" si="4"/>
        <v>255091.40610574093</v>
      </c>
      <c r="L85" s="103">
        <f t="shared" si="5"/>
        <v>254871.90324134499</v>
      </c>
      <c r="M85" s="103">
        <f t="shared" si="6"/>
        <v>219.50286439593765</v>
      </c>
      <c r="N85" s="103">
        <f t="shared" si="7"/>
        <v>15292094.691616358</v>
      </c>
    </row>
    <row r="86" spans="1:14" hidden="1" x14ac:dyDescent="0.25">
      <c r="A86">
        <v>55</v>
      </c>
      <c r="B86" s="112">
        <v>47300</v>
      </c>
      <c r="C86" s="111">
        <f t="shared" si="0"/>
        <v>234394.37538396832</v>
      </c>
      <c r="D86" s="111">
        <f t="shared" si="1"/>
        <v>234032.1215827835</v>
      </c>
      <c r="E86" s="111">
        <f t="shared" si="9"/>
        <v>362.25380118482281</v>
      </c>
      <c r="F86" s="111">
        <f t="shared" si="10"/>
        <v>15286392.54198961</v>
      </c>
      <c r="J86" s="121">
        <v>47300</v>
      </c>
      <c r="K86" s="103">
        <f t="shared" si="4"/>
        <v>255091.40610574093</v>
      </c>
      <c r="L86" s="103">
        <f t="shared" si="5"/>
        <v>254868.24486027172</v>
      </c>
      <c r="M86" s="103">
        <f t="shared" si="6"/>
        <v>223.16124546920764</v>
      </c>
      <c r="N86" s="103">
        <f t="shared" si="7"/>
        <v>15291871.530370889</v>
      </c>
    </row>
    <row r="87" spans="1:14" hidden="1" x14ac:dyDescent="0.25">
      <c r="A87">
        <v>56</v>
      </c>
      <c r="B87" s="112">
        <v>47331</v>
      </c>
      <c r="C87" s="111">
        <f t="shared" si="0"/>
        <v>234394.37538396832</v>
      </c>
      <c r="D87" s="111">
        <f t="shared" si="1"/>
        <v>234026.57566890086</v>
      </c>
      <c r="E87" s="111">
        <f t="shared" si="9"/>
        <v>367.79971506746369</v>
      </c>
      <c r="F87" s="111">
        <f t="shared" si="10"/>
        <v>15286024.742274541</v>
      </c>
      <c r="J87" s="121">
        <v>47331</v>
      </c>
      <c r="K87" s="103">
        <f t="shared" si="4"/>
        <v>255091.40610574093</v>
      </c>
      <c r="L87" s="103">
        <f t="shared" si="5"/>
        <v>254864.52550618059</v>
      </c>
      <c r="M87" s="103">
        <f t="shared" si="6"/>
        <v>226.88059956033248</v>
      </c>
      <c r="N87" s="103">
        <f t="shared" si="7"/>
        <v>15291644.649771329</v>
      </c>
    </row>
    <row r="88" spans="1:14" hidden="1" x14ac:dyDescent="0.25">
      <c r="A88">
        <v>57</v>
      </c>
      <c r="B88" s="112">
        <v>47362</v>
      </c>
      <c r="C88" s="111">
        <f t="shared" si="0"/>
        <v>234394.37538396832</v>
      </c>
      <c r="D88" s="111">
        <f t="shared" si="1"/>
        <v>234020.94485001318</v>
      </c>
      <c r="E88" s="111">
        <f t="shared" si="9"/>
        <v>373.43053395513562</v>
      </c>
      <c r="F88" s="111">
        <f t="shared" si="10"/>
        <v>15285651.311740587</v>
      </c>
      <c r="J88" s="121">
        <v>47362</v>
      </c>
      <c r="K88" s="103">
        <f t="shared" si="4"/>
        <v>255091.40610574093</v>
      </c>
      <c r="L88" s="103">
        <f t="shared" si="5"/>
        <v>254860.74416285456</v>
      </c>
      <c r="M88" s="103">
        <f t="shared" si="6"/>
        <v>230.66194288636325</v>
      </c>
      <c r="N88" s="103">
        <f t="shared" si="7"/>
        <v>15291413.987828443</v>
      </c>
    </row>
    <row r="89" spans="1:14" hidden="1" x14ac:dyDescent="0.25">
      <c r="A89">
        <v>58</v>
      </c>
      <c r="B89" s="112">
        <v>47392</v>
      </c>
      <c r="C89" s="111">
        <f t="shared" si="0"/>
        <v>234394.37538396832</v>
      </c>
      <c r="D89" s="111">
        <f t="shared" si="1"/>
        <v>234015.22782626993</v>
      </c>
      <c r="E89" s="111">
        <f t="shared" si="9"/>
        <v>379.14755769839394</v>
      </c>
      <c r="F89" s="111">
        <f t="shared" si="10"/>
        <v>15285272.164182888</v>
      </c>
      <c r="J89" s="121">
        <v>47392</v>
      </c>
      <c r="K89" s="103">
        <f t="shared" si="4"/>
        <v>255091.40610574093</v>
      </c>
      <c r="L89" s="103">
        <f t="shared" si="5"/>
        <v>254856.89979713981</v>
      </c>
      <c r="M89" s="103">
        <f t="shared" si="6"/>
        <v>234.50630860112142</v>
      </c>
      <c r="N89" s="103">
        <f t="shared" si="7"/>
        <v>15291179.481519843</v>
      </c>
    </row>
    <row r="90" spans="1:14" hidden="1" x14ac:dyDescent="0.25">
      <c r="A90">
        <v>59</v>
      </c>
      <c r="B90" s="112">
        <v>47423</v>
      </c>
      <c r="C90" s="111">
        <f t="shared" si="0"/>
        <v>234394.37538396832</v>
      </c>
      <c r="D90" s="111">
        <f t="shared" si="1"/>
        <v>234009.42327792029</v>
      </c>
      <c r="E90" s="111">
        <f t="shared" si="9"/>
        <v>384.95210604803287</v>
      </c>
      <c r="F90" s="111">
        <f t="shared" si="10"/>
        <v>15284887.212076841</v>
      </c>
      <c r="J90" s="121">
        <v>47423</v>
      </c>
      <c r="K90" s="103">
        <f t="shared" si="4"/>
        <v>255091.40610574093</v>
      </c>
      <c r="L90" s="103">
        <f t="shared" si="5"/>
        <v>254852.99135866313</v>
      </c>
      <c r="M90" s="103">
        <f t="shared" si="6"/>
        <v>238.41474707779707</v>
      </c>
      <c r="N90" s="103">
        <f t="shared" si="7"/>
        <v>15290941.066772765</v>
      </c>
    </row>
    <row r="91" spans="1:14" hidden="1" x14ac:dyDescent="0.25">
      <c r="A91">
        <v>60</v>
      </c>
      <c r="B91" s="112">
        <v>47453</v>
      </c>
      <c r="C91" s="111">
        <f t="shared" si="0"/>
        <v>234394.37538396832</v>
      </c>
      <c r="D91" s="111">
        <f t="shared" si="1"/>
        <v>234003.52986500895</v>
      </c>
      <c r="E91" s="111">
        <f t="shared" si="9"/>
        <v>390.84551895936602</v>
      </c>
      <c r="F91" s="111">
        <f t="shared" si="10"/>
        <v>15284496.366557881</v>
      </c>
      <c r="J91" s="121">
        <v>47453</v>
      </c>
      <c r="K91" s="103">
        <f t="shared" si="4"/>
        <v>255091.40610574093</v>
      </c>
      <c r="L91" s="103">
        <f t="shared" si="5"/>
        <v>254849.01777954516</v>
      </c>
      <c r="M91" s="103">
        <f t="shared" si="6"/>
        <v>242.38832619576715</v>
      </c>
      <c r="N91" s="103">
        <f t="shared" si="7"/>
        <v>15290698.678446569</v>
      </c>
    </row>
    <row r="92" spans="1:14" hidden="1" x14ac:dyDescent="0.25">
      <c r="A92">
        <v>61</v>
      </c>
      <c r="B92" s="112">
        <v>47484</v>
      </c>
      <c r="C92" s="111">
        <f t="shared" si="0"/>
        <v>234394.37538396832</v>
      </c>
      <c r="D92" s="111">
        <f t="shared" si="1"/>
        <v>233997.54622706649</v>
      </c>
      <c r="E92" s="111">
        <f t="shared" si="9"/>
        <v>396.8291569018329</v>
      </c>
      <c r="F92" s="111">
        <f t="shared" si="10"/>
        <v>15284099.53740098</v>
      </c>
      <c r="J92" s="121">
        <v>47484</v>
      </c>
      <c r="K92" s="103">
        <f t="shared" si="4"/>
        <v>255091.40610574093</v>
      </c>
      <c r="L92" s="103">
        <f t="shared" si="5"/>
        <v>254844.97797410857</v>
      </c>
      <c r="M92" s="103">
        <f t="shared" si="6"/>
        <v>246.42813163236133</v>
      </c>
      <c r="N92" s="103">
        <f t="shared" si="7"/>
        <v>15290452.250314936</v>
      </c>
    </row>
    <row r="93" spans="1:14" hidden="1" x14ac:dyDescent="0.25">
      <c r="A93">
        <v>62</v>
      </c>
      <c r="B93" s="112">
        <v>47515</v>
      </c>
      <c r="C93" s="111">
        <f t="shared" si="0"/>
        <v>234394.37538396832</v>
      </c>
      <c r="D93" s="111">
        <f t="shared" si="1"/>
        <v>233991.47098279546</v>
      </c>
      <c r="E93" s="111">
        <f t="shared" si="9"/>
        <v>402.9044011728547</v>
      </c>
      <c r="F93" s="111">
        <f t="shared" si="10"/>
        <v>15283696.632999808</v>
      </c>
      <c r="J93" s="121">
        <v>47515</v>
      </c>
      <c r="K93" s="103">
        <f t="shared" si="4"/>
        <v>255091.40610574093</v>
      </c>
      <c r="L93" s="103">
        <f t="shared" si="5"/>
        <v>254840.87083858135</v>
      </c>
      <c r="M93" s="103">
        <f t="shared" si="6"/>
        <v>250.5352671595756</v>
      </c>
      <c r="N93" s="103">
        <f t="shared" si="7"/>
        <v>15290201.715047777</v>
      </c>
    </row>
    <row r="94" spans="1:14" hidden="1" x14ac:dyDescent="0.25">
      <c r="A94">
        <v>63</v>
      </c>
      <c r="B94" s="112">
        <v>47543</v>
      </c>
      <c r="C94" s="111">
        <f t="shared" si="0"/>
        <v>234394.37538396832</v>
      </c>
      <c r="D94" s="111">
        <f t="shared" si="1"/>
        <v>233985.30272975151</v>
      </c>
      <c r="E94" s="111">
        <f t="shared" si="9"/>
        <v>409.07265421681223</v>
      </c>
      <c r="F94" s="111">
        <f t="shared" si="10"/>
        <v>15283287.56034559</v>
      </c>
      <c r="J94" s="121">
        <v>47543</v>
      </c>
      <c r="K94" s="103">
        <f t="shared" si="4"/>
        <v>255091.40610574093</v>
      </c>
      <c r="L94" s="103">
        <f t="shared" si="5"/>
        <v>254836.69525079537</v>
      </c>
      <c r="M94" s="103">
        <f t="shared" si="6"/>
        <v>254.71085494555882</v>
      </c>
      <c r="N94" s="103">
        <f t="shared" si="7"/>
        <v>15289947.004192831</v>
      </c>
    </row>
    <row r="95" spans="1:14" hidden="1" x14ac:dyDescent="0.25">
      <c r="A95">
        <v>64</v>
      </c>
      <c r="B95" s="112">
        <v>47574</v>
      </c>
      <c r="C95" s="111">
        <f t="shared" si="0"/>
        <v>234394.37538396832</v>
      </c>
      <c r="D95" s="111">
        <f t="shared" si="1"/>
        <v>233979.04004401952</v>
      </c>
      <c r="E95" s="111">
        <f t="shared" si="9"/>
        <v>415.3353399487969</v>
      </c>
      <c r="F95" s="111">
        <f t="shared" si="10"/>
        <v>15282872.225005642</v>
      </c>
      <c r="J95" s="121">
        <v>47574</v>
      </c>
      <c r="K95" s="103">
        <f t="shared" si="4"/>
        <v>255091.40610574093</v>
      </c>
      <c r="L95" s="103">
        <f t="shared" si="5"/>
        <v>254832.45006987962</v>
      </c>
      <c r="M95" s="103">
        <f t="shared" si="6"/>
        <v>258.95603586130892</v>
      </c>
      <c r="N95" s="103">
        <f t="shared" si="7"/>
        <v>15289688.048156969</v>
      </c>
    </row>
    <row r="96" spans="1:14" hidden="1" x14ac:dyDescent="0.25">
      <c r="A96">
        <v>65</v>
      </c>
      <c r="B96" s="112">
        <v>47604</v>
      </c>
      <c r="C96" s="111">
        <f t="shared" ref="C96:C159" si="11">x</f>
        <v>234394.37538396832</v>
      </c>
      <c r="D96" s="111">
        <f t="shared" ref="D96:D159" si="12">F95*((1+ANNUAL_INTEREST_RATE)^(1/12)-1)</f>
        <v>233972.68147988507</v>
      </c>
      <c r="E96" s="111">
        <f t="shared" si="9"/>
        <v>421.69390408325125</v>
      </c>
      <c r="F96" s="111">
        <f t="shared" si="10"/>
        <v>15282450.531101558</v>
      </c>
      <c r="J96" s="121">
        <v>47604</v>
      </c>
      <c r="K96" s="103">
        <f t="shared" si="4"/>
        <v>255091.40610574093</v>
      </c>
      <c r="L96" s="103">
        <f t="shared" si="5"/>
        <v>254828.13413594858</v>
      </c>
      <c r="M96" s="103">
        <f t="shared" si="6"/>
        <v>263.27196979234577</v>
      </c>
      <c r="N96" s="103">
        <f t="shared" si="7"/>
        <v>15289424.776187178</v>
      </c>
    </row>
    <row r="97" spans="1:14" hidden="1" x14ac:dyDescent="0.25">
      <c r="A97">
        <v>66</v>
      </c>
      <c r="B97" s="112">
        <v>47635</v>
      </c>
      <c r="C97" s="111">
        <f t="shared" si="11"/>
        <v>234394.37538396832</v>
      </c>
      <c r="D97" s="111">
        <f t="shared" si="12"/>
        <v>233966.22556950062</v>
      </c>
      <c r="E97" s="111">
        <f t="shared" si="9"/>
        <v>428.14981446770253</v>
      </c>
      <c r="F97" s="111">
        <f t="shared" si="10"/>
        <v>15282022.38128709</v>
      </c>
      <c r="J97" s="121">
        <v>47635</v>
      </c>
      <c r="K97" s="103">
        <f t="shared" ref="K97:K160" si="13">$L$23</f>
        <v>255091.40610574093</v>
      </c>
      <c r="L97" s="103">
        <f t="shared" ref="L97:L160" si="14">N96*((1+$L$5)^(1/12)-1)</f>
        <v>254823.74626978539</v>
      </c>
      <c r="M97" s="103">
        <f t="shared" ref="M97:M160" si="15">K97-L97</f>
        <v>267.65983595553553</v>
      </c>
      <c r="N97" s="103">
        <f t="shared" ref="N97:N160" si="16">N96-M97</f>
        <v>15289157.116351223</v>
      </c>
    </row>
    <row r="98" spans="1:14" hidden="1" x14ac:dyDescent="0.25">
      <c r="A98">
        <v>67</v>
      </c>
      <c r="B98" s="112">
        <v>47665</v>
      </c>
      <c r="C98" s="111">
        <f t="shared" si="11"/>
        <v>234394.37538396832</v>
      </c>
      <c r="D98" s="111">
        <f t="shared" si="12"/>
        <v>233959.67082254656</v>
      </c>
      <c r="E98" s="111">
        <f t="shared" si="9"/>
        <v>434.70456142176408</v>
      </c>
      <c r="F98" s="111">
        <f t="shared" si="10"/>
        <v>15281587.676725669</v>
      </c>
      <c r="J98" s="121">
        <v>47665</v>
      </c>
      <c r="K98" s="103">
        <f t="shared" si="13"/>
        <v>255091.40610574093</v>
      </c>
      <c r="L98" s="103">
        <f t="shared" si="14"/>
        <v>254819.28527251948</v>
      </c>
      <c r="M98" s="103">
        <f t="shared" si="15"/>
        <v>272.12083322144463</v>
      </c>
      <c r="N98" s="103">
        <f t="shared" si="16"/>
        <v>15288884.995518001</v>
      </c>
    </row>
    <row r="99" spans="1:14" hidden="1" x14ac:dyDescent="0.25">
      <c r="A99">
        <v>68</v>
      </c>
      <c r="B99" s="112">
        <v>47696</v>
      </c>
      <c r="C99" s="111">
        <f t="shared" si="11"/>
        <v>234394.37538396832</v>
      </c>
      <c r="D99" s="111">
        <f t="shared" si="12"/>
        <v>233953.01572588735</v>
      </c>
      <c r="E99" s="111">
        <f t="shared" si="9"/>
        <v>441.35965808096807</v>
      </c>
      <c r="F99" s="111">
        <f t="shared" si="10"/>
        <v>15281146.317067588</v>
      </c>
      <c r="J99" s="121">
        <v>47696</v>
      </c>
      <c r="K99" s="103">
        <f t="shared" si="13"/>
        <v>255091.40610574093</v>
      </c>
      <c r="L99" s="103">
        <f t="shared" si="14"/>
        <v>254814.74992529911</v>
      </c>
      <c r="M99" s="103">
        <f t="shared" si="15"/>
        <v>276.6561804418161</v>
      </c>
      <c r="N99" s="103">
        <f t="shared" si="16"/>
        <v>15288608.339337559</v>
      </c>
    </row>
    <row r="100" spans="1:14" hidden="1" x14ac:dyDescent="0.25">
      <c r="A100">
        <v>69</v>
      </c>
      <c r="B100" s="112">
        <v>47727</v>
      </c>
      <c r="C100" s="111">
        <f t="shared" si="11"/>
        <v>234394.37538396832</v>
      </c>
      <c r="D100" s="111">
        <f t="shared" si="12"/>
        <v>233946.25874322219</v>
      </c>
      <c r="E100" s="111">
        <f t="shared" ref="E100:E163" si="17">C100-D100</f>
        <v>448.11664074612781</v>
      </c>
      <c r="F100" s="111">
        <f t="shared" ref="F100:F163" si="18">F99-E100</f>
        <v>15280698.200426841</v>
      </c>
      <c r="J100" s="121">
        <v>47727</v>
      </c>
      <c r="K100" s="103">
        <f t="shared" si="13"/>
        <v>255091.40610574093</v>
      </c>
      <c r="L100" s="103">
        <f t="shared" si="14"/>
        <v>254810.13898895841</v>
      </c>
      <c r="M100" s="103">
        <f t="shared" si="15"/>
        <v>281.26711678251741</v>
      </c>
      <c r="N100" s="103">
        <f t="shared" si="16"/>
        <v>15288327.072220776</v>
      </c>
    </row>
    <row r="101" spans="1:14" hidden="1" x14ac:dyDescent="0.25">
      <c r="A101">
        <v>70</v>
      </c>
      <c r="B101" s="112">
        <v>47757</v>
      </c>
      <c r="C101" s="111">
        <f t="shared" si="11"/>
        <v>234394.37538396832</v>
      </c>
      <c r="D101" s="111">
        <f t="shared" si="12"/>
        <v>233939.39831473024</v>
      </c>
      <c r="E101" s="111">
        <f t="shared" si="17"/>
        <v>454.97706923808437</v>
      </c>
      <c r="F101" s="111">
        <f t="shared" si="18"/>
        <v>15280243.223357603</v>
      </c>
      <c r="J101" s="121">
        <v>47757</v>
      </c>
      <c r="K101" s="103">
        <f t="shared" si="13"/>
        <v>255091.40610574093</v>
      </c>
      <c r="L101" s="103">
        <f t="shared" si="14"/>
        <v>254805.45120367871</v>
      </c>
      <c r="M101" s="103">
        <f t="shared" si="15"/>
        <v>285.95490206222166</v>
      </c>
      <c r="N101" s="103">
        <f t="shared" si="16"/>
        <v>15288041.117318714</v>
      </c>
    </row>
    <row r="102" spans="1:14" hidden="1" x14ac:dyDescent="0.25">
      <c r="A102">
        <v>71</v>
      </c>
      <c r="B102" s="112">
        <v>47788</v>
      </c>
      <c r="C102" s="111">
        <f t="shared" si="11"/>
        <v>234394.37538396832</v>
      </c>
      <c r="D102" s="111">
        <f t="shared" si="12"/>
        <v>233932.43285671069</v>
      </c>
      <c r="E102" s="111">
        <f t="shared" si="17"/>
        <v>461.94252725763363</v>
      </c>
      <c r="F102" s="111">
        <f t="shared" si="18"/>
        <v>15279781.280830346</v>
      </c>
      <c r="J102" s="121">
        <v>47788</v>
      </c>
      <c r="K102" s="103">
        <f t="shared" si="13"/>
        <v>255091.40610574093</v>
      </c>
      <c r="L102" s="103">
        <f t="shared" si="14"/>
        <v>254800.68528864434</v>
      </c>
      <c r="M102" s="103">
        <f t="shared" si="15"/>
        <v>290.7208170965896</v>
      </c>
      <c r="N102" s="103">
        <f t="shared" si="16"/>
        <v>15287750.396501618</v>
      </c>
    </row>
    <row r="103" spans="1:14" hidden="1" x14ac:dyDescent="0.25">
      <c r="A103">
        <v>72</v>
      </c>
      <c r="B103" s="112">
        <v>47818</v>
      </c>
      <c r="C103" s="111">
        <f t="shared" si="11"/>
        <v>234394.37538396832</v>
      </c>
      <c r="D103" s="111">
        <f t="shared" si="12"/>
        <v>233925.36076121707</v>
      </c>
      <c r="E103" s="111">
        <f t="shared" si="17"/>
        <v>469.01462275124504</v>
      </c>
      <c r="F103" s="111">
        <f t="shared" si="18"/>
        <v>15279312.266207594</v>
      </c>
      <c r="J103" s="121">
        <v>47818</v>
      </c>
      <c r="K103" s="103">
        <f t="shared" si="13"/>
        <v>255091.40610574093</v>
      </c>
      <c r="L103" s="103">
        <f t="shared" si="14"/>
        <v>254795.83994169271</v>
      </c>
      <c r="M103" s="103">
        <f t="shared" si="15"/>
        <v>295.56616404821398</v>
      </c>
      <c r="N103" s="103">
        <f t="shared" si="16"/>
        <v>15287454.830337569</v>
      </c>
    </row>
    <row r="104" spans="1:14" hidden="1" x14ac:dyDescent="0.25">
      <c r="A104">
        <v>73</v>
      </c>
      <c r="B104" s="112">
        <v>47849</v>
      </c>
      <c r="C104" s="111">
        <f t="shared" si="11"/>
        <v>234394.37538396832</v>
      </c>
      <c r="D104" s="111">
        <f t="shared" si="12"/>
        <v>233918.18039568613</v>
      </c>
      <c r="E104" s="111">
        <f t="shared" si="17"/>
        <v>476.19498828219366</v>
      </c>
      <c r="F104" s="111">
        <f t="shared" si="18"/>
        <v>15278836.071219312</v>
      </c>
      <c r="J104" s="121">
        <v>47849</v>
      </c>
      <c r="K104" s="103">
        <f t="shared" si="13"/>
        <v>255091.40610574093</v>
      </c>
      <c r="L104" s="103">
        <f t="shared" si="14"/>
        <v>254790.91383895857</v>
      </c>
      <c r="M104" s="103">
        <f t="shared" si="15"/>
        <v>300.49226678235573</v>
      </c>
      <c r="N104" s="103">
        <f t="shared" si="16"/>
        <v>15287154.338070787</v>
      </c>
    </row>
    <row r="105" spans="1:14" hidden="1" x14ac:dyDescent="0.25">
      <c r="A105">
        <v>74</v>
      </c>
      <c r="B105" s="112">
        <v>47880</v>
      </c>
      <c r="C105" s="111">
        <f t="shared" si="11"/>
        <v>234394.37538396832</v>
      </c>
      <c r="D105" s="111">
        <f t="shared" si="12"/>
        <v>233910.89010256089</v>
      </c>
      <c r="E105" s="111">
        <f t="shared" si="17"/>
        <v>483.48528140742565</v>
      </c>
      <c r="F105" s="111">
        <f t="shared" si="18"/>
        <v>15278352.585937904</v>
      </c>
      <c r="J105" s="121">
        <v>47880</v>
      </c>
      <c r="K105" s="103">
        <f t="shared" si="13"/>
        <v>255091.40610574093</v>
      </c>
      <c r="L105" s="103">
        <f t="shared" si="14"/>
        <v>254785.90563451222</v>
      </c>
      <c r="M105" s="103">
        <f t="shared" si="15"/>
        <v>305.50047122870455</v>
      </c>
      <c r="N105" s="103">
        <f t="shared" si="16"/>
        <v>15286848.837599559</v>
      </c>
    </row>
    <row r="106" spans="1:14" hidden="1" x14ac:dyDescent="0.25">
      <c r="A106">
        <v>75</v>
      </c>
      <c r="B106" s="112">
        <v>47908</v>
      </c>
      <c r="C106" s="111">
        <f t="shared" si="11"/>
        <v>234394.37538396832</v>
      </c>
      <c r="D106" s="111">
        <f t="shared" si="12"/>
        <v>233903.48819890813</v>
      </c>
      <c r="E106" s="111">
        <f t="shared" si="17"/>
        <v>490.88718506018631</v>
      </c>
      <c r="F106" s="111">
        <f t="shared" si="18"/>
        <v>15277861.698752845</v>
      </c>
      <c r="J106" s="121">
        <v>47908</v>
      </c>
      <c r="K106" s="103">
        <f t="shared" si="13"/>
        <v>255091.40610574093</v>
      </c>
      <c r="L106" s="103">
        <f t="shared" si="14"/>
        <v>254780.81395999173</v>
      </c>
      <c r="M106" s="103">
        <f t="shared" si="15"/>
        <v>310.59214574919315</v>
      </c>
      <c r="N106" s="103">
        <f t="shared" si="16"/>
        <v>15286538.24545381</v>
      </c>
    </row>
    <row r="107" spans="1:14" hidden="1" x14ac:dyDescent="0.25">
      <c r="A107">
        <v>76</v>
      </c>
      <c r="B107" s="112">
        <v>47939</v>
      </c>
      <c r="C107" s="111">
        <f t="shared" si="11"/>
        <v>234394.37538396832</v>
      </c>
      <c r="D107" s="111">
        <f t="shared" si="12"/>
        <v>233895.97297602976</v>
      </c>
      <c r="E107" s="111">
        <f t="shared" si="17"/>
        <v>498.40240793855628</v>
      </c>
      <c r="F107" s="111">
        <f t="shared" si="18"/>
        <v>15277363.296344906</v>
      </c>
      <c r="J107" s="121">
        <v>47939</v>
      </c>
      <c r="K107" s="103">
        <f t="shared" si="13"/>
        <v>255091.40610574093</v>
      </c>
      <c r="L107" s="103">
        <f t="shared" si="14"/>
        <v>254775.63742422927</v>
      </c>
      <c r="M107" s="103">
        <f t="shared" si="15"/>
        <v>315.76868151166127</v>
      </c>
      <c r="N107" s="103">
        <f t="shared" si="16"/>
        <v>15286222.476772299</v>
      </c>
    </row>
    <row r="108" spans="1:14" hidden="1" x14ac:dyDescent="0.25">
      <c r="A108">
        <v>77</v>
      </c>
      <c r="B108" s="112">
        <v>47969</v>
      </c>
      <c r="C108" s="111">
        <f t="shared" si="11"/>
        <v>234394.37538396832</v>
      </c>
      <c r="D108" s="111">
        <f t="shared" si="12"/>
        <v>233888.34269906842</v>
      </c>
      <c r="E108" s="111">
        <f t="shared" si="17"/>
        <v>506.03268489989568</v>
      </c>
      <c r="F108" s="111">
        <f t="shared" si="18"/>
        <v>15276857.263660006</v>
      </c>
      <c r="J108" s="121">
        <v>47969</v>
      </c>
      <c r="K108" s="103">
        <f t="shared" si="13"/>
        <v>255091.40610574093</v>
      </c>
      <c r="L108" s="103">
        <f t="shared" si="14"/>
        <v>254770.37461287074</v>
      </c>
      <c r="M108" s="103">
        <f t="shared" si="15"/>
        <v>321.03149287018459</v>
      </c>
      <c r="N108" s="103">
        <f t="shared" si="16"/>
        <v>15285901.445279429</v>
      </c>
    </row>
    <row r="109" spans="1:14" hidden="1" x14ac:dyDescent="0.25">
      <c r="A109">
        <v>78</v>
      </c>
      <c r="B109" s="112">
        <v>48000</v>
      </c>
      <c r="C109" s="111">
        <f t="shared" si="11"/>
        <v>234394.37538396832</v>
      </c>
      <c r="D109" s="111">
        <f t="shared" si="12"/>
        <v>233880.59560660706</v>
      </c>
      <c r="E109" s="111">
        <f t="shared" si="17"/>
        <v>513.77977736125467</v>
      </c>
      <c r="F109" s="111">
        <f t="shared" si="18"/>
        <v>15276343.483882645</v>
      </c>
      <c r="J109" s="121">
        <v>48000</v>
      </c>
      <c r="K109" s="103">
        <f t="shared" si="13"/>
        <v>255091.40610574093</v>
      </c>
      <c r="L109" s="103">
        <f t="shared" si="14"/>
        <v>254765.02408798959</v>
      </c>
      <c r="M109" s="103">
        <f t="shared" si="15"/>
        <v>326.38201775134075</v>
      </c>
      <c r="N109" s="103">
        <f t="shared" si="16"/>
        <v>15285575.063261677</v>
      </c>
    </row>
    <row r="110" spans="1:14" hidden="1" x14ac:dyDescent="0.25">
      <c r="A110">
        <v>79</v>
      </c>
      <c r="B110" s="112">
        <v>48030</v>
      </c>
      <c r="C110" s="111">
        <f t="shared" si="11"/>
        <v>234394.37538396832</v>
      </c>
      <c r="D110" s="111">
        <f t="shared" si="12"/>
        <v>233872.72991026219</v>
      </c>
      <c r="E110" s="111">
        <f t="shared" si="17"/>
        <v>521.64547370612854</v>
      </c>
      <c r="F110" s="111">
        <f t="shared" si="18"/>
        <v>15275821.83840894</v>
      </c>
      <c r="J110" s="121">
        <v>48030</v>
      </c>
      <c r="K110" s="103">
        <f t="shared" si="13"/>
        <v>255091.40610574093</v>
      </c>
      <c r="L110" s="103">
        <f t="shared" si="14"/>
        <v>254759.5843876937</v>
      </c>
      <c r="M110" s="103">
        <f t="shared" si="15"/>
        <v>331.82171804722748</v>
      </c>
      <c r="N110" s="103">
        <f t="shared" si="16"/>
        <v>15285243.24154363</v>
      </c>
    </row>
    <row r="111" spans="1:14" hidden="1" x14ac:dyDescent="0.25">
      <c r="A111">
        <v>80</v>
      </c>
      <c r="B111" s="112">
        <v>48061</v>
      </c>
      <c r="C111" s="111">
        <f t="shared" si="11"/>
        <v>234394.37538396832</v>
      </c>
      <c r="D111" s="111">
        <f t="shared" si="12"/>
        <v>233864.74379427117</v>
      </c>
      <c r="E111" s="111">
        <f t="shared" si="17"/>
        <v>529.63158969715005</v>
      </c>
      <c r="F111" s="111">
        <f t="shared" si="18"/>
        <v>15275292.206819242</v>
      </c>
      <c r="J111" s="121">
        <v>48061</v>
      </c>
      <c r="K111" s="103">
        <f t="shared" si="13"/>
        <v>255091.40610574093</v>
      </c>
      <c r="L111" s="103">
        <f t="shared" si="14"/>
        <v>254754.05402572628</v>
      </c>
      <c r="M111" s="103">
        <f t="shared" si="15"/>
        <v>337.35208001465071</v>
      </c>
      <c r="N111" s="103">
        <f t="shared" si="16"/>
        <v>15284905.889463615</v>
      </c>
    </row>
    <row r="112" spans="1:14" hidden="1" x14ac:dyDescent="0.25">
      <c r="A112">
        <v>81</v>
      </c>
      <c r="B112" s="112">
        <v>48092</v>
      </c>
      <c r="C112" s="111">
        <f t="shared" si="11"/>
        <v>234394.37538396832</v>
      </c>
      <c r="D112" s="111">
        <f t="shared" si="12"/>
        <v>233856.63541507296</v>
      </c>
      <c r="E112" s="111">
        <f t="shared" si="17"/>
        <v>537.7399688953592</v>
      </c>
      <c r="F112" s="111">
        <f t="shared" si="18"/>
        <v>15274754.466850346</v>
      </c>
      <c r="J112" s="121">
        <v>48092</v>
      </c>
      <c r="K112" s="103">
        <f t="shared" si="13"/>
        <v>255091.40610574093</v>
      </c>
      <c r="L112" s="103">
        <f t="shared" si="14"/>
        <v>254748.43149105934</v>
      </c>
      <c r="M112" s="103">
        <f t="shared" si="15"/>
        <v>342.97461468158872</v>
      </c>
      <c r="N112" s="103">
        <f t="shared" si="16"/>
        <v>15284562.914848933</v>
      </c>
    </row>
    <row r="113" spans="1:14" hidden="1" x14ac:dyDescent="0.25">
      <c r="A113">
        <v>82</v>
      </c>
      <c r="B113" s="112">
        <v>48122</v>
      </c>
      <c r="C113" s="111">
        <f t="shared" si="11"/>
        <v>234394.37538396832</v>
      </c>
      <c r="D113" s="111">
        <f t="shared" si="12"/>
        <v>233848.40290088262</v>
      </c>
      <c r="E113" s="111">
        <f t="shared" si="17"/>
        <v>545.97248308570124</v>
      </c>
      <c r="F113" s="111">
        <f t="shared" si="18"/>
        <v>15274208.49436726</v>
      </c>
      <c r="J113" s="121">
        <v>48122</v>
      </c>
      <c r="K113" s="103">
        <f t="shared" si="13"/>
        <v>255091.40610574093</v>
      </c>
      <c r="L113" s="103">
        <f t="shared" si="14"/>
        <v>254742.7152474813</v>
      </c>
      <c r="M113" s="103">
        <f t="shared" si="15"/>
        <v>348.69085825962247</v>
      </c>
      <c r="N113" s="103">
        <f t="shared" si="16"/>
        <v>15284214.223990673</v>
      </c>
    </row>
    <row r="114" spans="1:14" hidden="1" x14ac:dyDescent="0.25">
      <c r="A114">
        <v>83</v>
      </c>
      <c r="B114" s="112">
        <v>48153</v>
      </c>
      <c r="C114" s="111">
        <f t="shared" si="11"/>
        <v>234394.37538396832</v>
      </c>
      <c r="D114" s="111">
        <f t="shared" si="12"/>
        <v>233840.04435125916</v>
      </c>
      <c r="E114" s="111">
        <f t="shared" si="17"/>
        <v>554.33103270916035</v>
      </c>
      <c r="F114" s="111">
        <f t="shared" si="18"/>
        <v>15273654.163334552</v>
      </c>
      <c r="J114" s="121">
        <v>48153</v>
      </c>
      <c r="K114" s="103">
        <f t="shared" si="13"/>
        <v>255091.40610574093</v>
      </c>
      <c r="L114" s="103">
        <f t="shared" si="14"/>
        <v>254736.90373317699</v>
      </c>
      <c r="M114" s="103">
        <f t="shared" si="15"/>
        <v>354.50237256393302</v>
      </c>
      <c r="N114" s="103">
        <f t="shared" si="16"/>
        <v>15283859.721618108</v>
      </c>
    </row>
    <row r="115" spans="1:14" hidden="1" x14ac:dyDescent="0.25">
      <c r="A115">
        <v>84</v>
      </c>
      <c r="B115" s="112">
        <v>48183</v>
      </c>
      <c r="C115" s="111">
        <f t="shared" si="11"/>
        <v>234394.37538396832</v>
      </c>
      <c r="D115" s="111">
        <f t="shared" si="12"/>
        <v>233831.55783666685</v>
      </c>
      <c r="E115" s="111">
        <f t="shared" si="17"/>
        <v>562.81754730147077</v>
      </c>
      <c r="F115" s="111">
        <f t="shared" si="18"/>
        <v>15273091.345787251</v>
      </c>
      <c r="J115" s="121">
        <v>48183</v>
      </c>
      <c r="K115" s="103">
        <f t="shared" si="13"/>
        <v>255091.40610574093</v>
      </c>
      <c r="L115" s="103">
        <f t="shared" si="14"/>
        <v>254730.99536030091</v>
      </c>
      <c r="M115" s="103">
        <f t="shared" si="15"/>
        <v>360.41074544002186</v>
      </c>
      <c r="N115" s="103">
        <f t="shared" si="16"/>
        <v>15283499.310872668</v>
      </c>
    </row>
    <row r="116" spans="1:14" hidden="1" x14ac:dyDescent="0.25">
      <c r="A116">
        <v>85</v>
      </c>
      <c r="B116" s="112">
        <v>48214</v>
      </c>
      <c r="C116" s="111">
        <f t="shared" si="11"/>
        <v>234394.37538396832</v>
      </c>
      <c r="D116" s="111">
        <f t="shared" si="12"/>
        <v>233822.94139802971</v>
      </c>
      <c r="E116" s="111">
        <f t="shared" si="17"/>
        <v>571.43398593860911</v>
      </c>
      <c r="F116" s="111">
        <f t="shared" si="18"/>
        <v>15272519.911801312</v>
      </c>
      <c r="J116" s="121">
        <v>48214</v>
      </c>
      <c r="K116" s="103">
        <f t="shared" si="13"/>
        <v>255091.40610574093</v>
      </c>
      <c r="L116" s="103">
        <f t="shared" si="14"/>
        <v>254724.98851454357</v>
      </c>
      <c r="M116" s="103">
        <f t="shared" si="15"/>
        <v>366.41759119735798</v>
      </c>
      <c r="N116" s="103">
        <f t="shared" si="16"/>
        <v>15283132.893281471</v>
      </c>
    </row>
    <row r="117" spans="1:14" hidden="1" x14ac:dyDescent="0.25">
      <c r="A117">
        <v>86</v>
      </c>
      <c r="B117" s="112">
        <v>48245</v>
      </c>
      <c r="C117" s="111">
        <f t="shared" si="11"/>
        <v>234394.37538396832</v>
      </c>
      <c r="D117" s="111">
        <f t="shared" si="12"/>
        <v>233814.19304627943</v>
      </c>
      <c r="E117" s="111">
        <f t="shared" si="17"/>
        <v>580.18233768889331</v>
      </c>
      <c r="F117" s="111">
        <f t="shared" si="18"/>
        <v>15271939.729463624</v>
      </c>
      <c r="J117" s="121">
        <v>48245</v>
      </c>
      <c r="K117" s="103">
        <f t="shared" si="13"/>
        <v>255091.40610574093</v>
      </c>
      <c r="L117" s="103">
        <f t="shared" si="14"/>
        <v>254718.88155469028</v>
      </c>
      <c r="M117" s="103">
        <f t="shared" si="15"/>
        <v>372.52455105065019</v>
      </c>
      <c r="N117" s="103">
        <f t="shared" si="16"/>
        <v>15282760.36873042</v>
      </c>
    </row>
    <row r="118" spans="1:14" hidden="1" x14ac:dyDescent="0.25">
      <c r="A118">
        <v>87</v>
      </c>
      <c r="B118" s="112">
        <v>48274</v>
      </c>
      <c r="C118" s="111">
        <f t="shared" si="11"/>
        <v>234394.37538396832</v>
      </c>
      <c r="D118" s="111">
        <f t="shared" si="12"/>
        <v>233805.31076189611</v>
      </c>
      <c r="E118" s="111">
        <f t="shared" si="17"/>
        <v>589.06462207221193</v>
      </c>
      <c r="F118" s="111">
        <f t="shared" si="18"/>
        <v>15271350.664841551</v>
      </c>
      <c r="J118" s="121">
        <v>48274</v>
      </c>
      <c r="K118" s="103">
        <f t="shared" si="13"/>
        <v>255091.40610574093</v>
      </c>
      <c r="L118" s="103">
        <f t="shared" si="14"/>
        <v>254712.67281217276</v>
      </c>
      <c r="M118" s="103">
        <f t="shared" si="15"/>
        <v>378.73329356816248</v>
      </c>
      <c r="N118" s="103">
        <f t="shared" si="16"/>
        <v>15282381.635436852</v>
      </c>
    </row>
    <row r="119" spans="1:14" hidden="1" x14ac:dyDescent="0.25">
      <c r="A119">
        <v>88</v>
      </c>
      <c r="B119" s="112">
        <v>48305</v>
      </c>
      <c r="C119" s="111">
        <f t="shared" si="11"/>
        <v>234394.37538396832</v>
      </c>
      <c r="D119" s="111">
        <f t="shared" si="12"/>
        <v>233796.29249444205</v>
      </c>
      <c r="E119" s="111">
        <f t="shared" si="17"/>
        <v>598.08288952626754</v>
      </c>
      <c r="F119" s="111">
        <f t="shared" si="18"/>
        <v>15270752.581952024</v>
      </c>
      <c r="J119" s="121">
        <v>48305</v>
      </c>
      <c r="K119" s="103">
        <f t="shared" si="13"/>
        <v>255091.40610574093</v>
      </c>
      <c r="L119" s="103">
        <f t="shared" si="14"/>
        <v>254706.3605906133</v>
      </c>
      <c r="M119" s="103">
        <f t="shared" si="15"/>
        <v>385.04551512762555</v>
      </c>
      <c r="N119" s="103">
        <f t="shared" si="16"/>
        <v>15281996.589921724</v>
      </c>
    </row>
    <row r="120" spans="1:14" hidden="1" x14ac:dyDescent="0.25">
      <c r="A120">
        <v>89</v>
      </c>
      <c r="B120" s="112">
        <v>48335</v>
      </c>
      <c r="C120" s="111">
        <f t="shared" si="11"/>
        <v>234394.37538396832</v>
      </c>
      <c r="D120" s="111">
        <f t="shared" si="12"/>
        <v>233787.13616208846</v>
      </c>
      <c r="E120" s="111">
        <f t="shared" si="17"/>
        <v>607.23922187986318</v>
      </c>
      <c r="F120" s="111">
        <f t="shared" si="18"/>
        <v>15270145.342730144</v>
      </c>
      <c r="J120" s="121">
        <v>48335</v>
      </c>
      <c r="K120" s="103">
        <f t="shared" si="13"/>
        <v>255091.40610574093</v>
      </c>
      <c r="L120" s="103">
        <f t="shared" si="14"/>
        <v>254699.94316536115</v>
      </c>
      <c r="M120" s="103">
        <f t="shared" si="15"/>
        <v>391.4629403797735</v>
      </c>
      <c r="N120" s="103">
        <f t="shared" si="16"/>
        <v>15281605.126981344</v>
      </c>
    </row>
    <row r="121" spans="1:14" hidden="1" x14ac:dyDescent="0.25">
      <c r="A121">
        <v>90</v>
      </c>
      <c r="B121" s="112">
        <v>48366</v>
      </c>
      <c r="C121" s="111">
        <f t="shared" si="11"/>
        <v>234394.37538396832</v>
      </c>
      <c r="D121" s="111">
        <f t="shared" si="12"/>
        <v>233777.8396511348</v>
      </c>
      <c r="E121" s="111">
        <f t="shared" si="17"/>
        <v>616.53573283352307</v>
      </c>
      <c r="F121" s="111">
        <f t="shared" si="18"/>
        <v>15269528.80699731</v>
      </c>
      <c r="J121" s="121">
        <v>48366</v>
      </c>
      <c r="K121" s="103">
        <f t="shared" si="13"/>
        <v>255091.40610574093</v>
      </c>
      <c r="L121" s="103">
        <f t="shared" si="14"/>
        <v>254693.41878302151</v>
      </c>
      <c r="M121" s="103">
        <f t="shared" si="15"/>
        <v>397.98732271941844</v>
      </c>
      <c r="N121" s="103">
        <f t="shared" si="16"/>
        <v>15281207.139658624</v>
      </c>
    </row>
    <row r="122" spans="1:14" hidden="1" x14ac:dyDescent="0.25">
      <c r="A122">
        <v>91</v>
      </c>
      <c r="B122" s="112">
        <v>48396</v>
      </c>
      <c r="C122" s="111">
        <f t="shared" si="11"/>
        <v>234394.37538396832</v>
      </c>
      <c r="D122" s="111">
        <f t="shared" si="12"/>
        <v>233768.40081552096</v>
      </c>
      <c r="E122" s="111">
        <f t="shared" si="17"/>
        <v>625.97456844736007</v>
      </c>
      <c r="F122" s="111">
        <f t="shared" si="18"/>
        <v>15268902.832428863</v>
      </c>
      <c r="J122" s="121">
        <v>48396</v>
      </c>
      <c r="K122" s="103">
        <f t="shared" si="13"/>
        <v>255091.40610574093</v>
      </c>
      <c r="L122" s="103">
        <f t="shared" si="14"/>
        <v>254686.78566097617</v>
      </c>
      <c r="M122" s="103">
        <f t="shared" si="15"/>
        <v>404.62044476476149</v>
      </c>
      <c r="N122" s="103">
        <f t="shared" si="16"/>
        <v>15280802.519213859</v>
      </c>
    </row>
    <row r="123" spans="1:14" hidden="1" x14ac:dyDescent="0.25">
      <c r="A123">
        <v>92</v>
      </c>
      <c r="B123" s="112">
        <v>48427</v>
      </c>
      <c r="C123" s="111">
        <f t="shared" si="11"/>
        <v>234394.37538396832</v>
      </c>
      <c r="D123" s="111">
        <f t="shared" si="12"/>
        <v>233758.81747633172</v>
      </c>
      <c r="E123" s="111">
        <f t="shared" si="17"/>
        <v>635.55790763659752</v>
      </c>
      <c r="F123" s="111">
        <f t="shared" si="18"/>
        <v>15268267.274521226</v>
      </c>
      <c r="J123" s="121">
        <v>48427</v>
      </c>
      <c r="K123" s="103">
        <f t="shared" si="13"/>
        <v>255091.40610574093</v>
      </c>
      <c r="L123" s="103">
        <f t="shared" si="14"/>
        <v>254680.04198689674</v>
      </c>
      <c r="M123" s="103">
        <f t="shared" si="15"/>
        <v>411.36411884418339</v>
      </c>
      <c r="N123" s="103">
        <f t="shared" si="16"/>
        <v>15280391.155095015</v>
      </c>
    </row>
    <row r="124" spans="1:14" hidden="1" x14ac:dyDescent="0.25">
      <c r="A124">
        <v>93</v>
      </c>
      <c r="B124" s="112">
        <v>48458</v>
      </c>
      <c r="C124" s="111">
        <f t="shared" si="11"/>
        <v>234394.37538396832</v>
      </c>
      <c r="D124" s="111">
        <f t="shared" si="12"/>
        <v>233749.08742129389</v>
      </c>
      <c r="E124" s="111">
        <f t="shared" si="17"/>
        <v>645.28796267442522</v>
      </c>
      <c r="F124" s="111">
        <f t="shared" si="18"/>
        <v>15267621.986558551</v>
      </c>
      <c r="J124" s="121">
        <v>48458</v>
      </c>
      <c r="K124" s="103">
        <f t="shared" si="13"/>
        <v>255091.40610574093</v>
      </c>
      <c r="L124" s="103">
        <f t="shared" si="14"/>
        <v>254673.18591824934</v>
      </c>
      <c r="M124" s="103">
        <f t="shared" si="15"/>
        <v>418.22018749159179</v>
      </c>
      <c r="N124" s="103">
        <f t="shared" si="16"/>
        <v>15279972.934907524</v>
      </c>
    </row>
    <row r="125" spans="1:14" hidden="1" x14ac:dyDescent="0.25">
      <c r="A125">
        <v>94</v>
      </c>
      <c r="B125" s="112">
        <v>48488</v>
      </c>
      <c r="C125" s="111">
        <f t="shared" si="11"/>
        <v>234394.37538396832</v>
      </c>
      <c r="D125" s="111">
        <f t="shared" si="12"/>
        <v>233739.20840426549</v>
      </c>
      <c r="E125" s="111">
        <f t="shared" si="17"/>
        <v>655.16697970282985</v>
      </c>
      <c r="F125" s="111">
        <f t="shared" si="18"/>
        <v>15266966.819578849</v>
      </c>
      <c r="J125" s="121">
        <v>48488</v>
      </c>
      <c r="K125" s="103">
        <f t="shared" si="13"/>
        <v>255091.40610574093</v>
      </c>
      <c r="L125" s="103">
        <f t="shared" si="14"/>
        <v>254666.21558179116</v>
      </c>
      <c r="M125" s="103">
        <f t="shared" si="15"/>
        <v>425.19052394977189</v>
      </c>
      <c r="N125" s="103">
        <f t="shared" si="16"/>
        <v>15279547.744383574</v>
      </c>
    </row>
    <row r="126" spans="1:14" hidden="1" x14ac:dyDescent="0.25">
      <c r="A126">
        <v>95</v>
      </c>
      <c r="B126" s="112">
        <v>48519</v>
      </c>
      <c r="C126" s="111">
        <f t="shared" si="11"/>
        <v>234394.37538396832</v>
      </c>
      <c r="D126" s="111">
        <f t="shared" si="12"/>
        <v>233729.17814471733</v>
      </c>
      <c r="E126" s="111">
        <f t="shared" si="17"/>
        <v>665.19723925099242</v>
      </c>
      <c r="F126" s="111">
        <f t="shared" si="18"/>
        <v>15266301.622339597</v>
      </c>
      <c r="J126" s="121">
        <v>48519</v>
      </c>
      <c r="K126" s="103">
        <f t="shared" si="13"/>
        <v>255091.40610574093</v>
      </c>
      <c r="L126" s="103">
        <f t="shared" si="14"/>
        <v>254659.12907305866</v>
      </c>
      <c r="M126" s="103">
        <f t="shared" si="15"/>
        <v>432.27703268226469</v>
      </c>
      <c r="N126" s="103">
        <f t="shared" si="16"/>
        <v>15279115.467350891</v>
      </c>
    </row>
    <row r="127" spans="1:14" hidden="1" x14ac:dyDescent="0.25">
      <c r="A127">
        <v>96</v>
      </c>
      <c r="B127" s="112">
        <v>48549</v>
      </c>
      <c r="C127" s="111">
        <f t="shared" si="11"/>
        <v>234394.37538396832</v>
      </c>
      <c r="D127" s="111">
        <f t="shared" si="12"/>
        <v>233718.99432720651</v>
      </c>
      <c r="E127" s="111">
        <f t="shared" si="17"/>
        <v>675.38105676180567</v>
      </c>
      <c r="F127" s="111">
        <f t="shared" si="18"/>
        <v>15265626.241282836</v>
      </c>
      <c r="J127" s="121">
        <v>48549</v>
      </c>
      <c r="K127" s="103">
        <f t="shared" si="13"/>
        <v>255091.40610574093</v>
      </c>
      <c r="L127" s="103">
        <f t="shared" si="14"/>
        <v>254651.92445584727</v>
      </c>
      <c r="M127" s="103">
        <f t="shared" si="15"/>
        <v>439.48164989365614</v>
      </c>
      <c r="N127" s="103">
        <f t="shared" si="16"/>
        <v>15278675.985700997</v>
      </c>
    </row>
    <row r="128" spans="1:14" hidden="1" x14ac:dyDescent="0.25">
      <c r="A128">
        <v>97</v>
      </c>
      <c r="B128" s="112">
        <v>48580</v>
      </c>
      <c r="C128" s="111">
        <f t="shared" si="11"/>
        <v>234394.37538396832</v>
      </c>
      <c r="D128" s="111">
        <f t="shared" si="12"/>
        <v>233708.65460084195</v>
      </c>
      <c r="E128" s="111">
        <f t="shared" si="17"/>
        <v>685.72078312636586</v>
      </c>
      <c r="F128" s="111">
        <f t="shared" si="18"/>
        <v>15264940.52049971</v>
      </c>
      <c r="J128" s="121">
        <v>48580</v>
      </c>
      <c r="K128" s="103">
        <f t="shared" si="13"/>
        <v>255091.40610574093</v>
      </c>
      <c r="L128" s="103">
        <f t="shared" si="14"/>
        <v>254644.59976168236</v>
      </c>
      <c r="M128" s="103">
        <f t="shared" si="15"/>
        <v>446.80634405856836</v>
      </c>
      <c r="N128" s="103">
        <f t="shared" si="16"/>
        <v>15278229.179356938</v>
      </c>
    </row>
    <row r="129" spans="1:14" hidden="1" x14ac:dyDescent="0.25">
      <c r="A129">
        <v>98</v>
      </c>
      <c r="B129" s="112">
        <v>48611</v>
      </c>
      <c r="C129" s="111">
        <f t="shared" si="11"/>
        <v>234394.37538396832</v>
      </c>
      <c r="D129" s="111">
        <f t="shared" si="12"/>
        <v>233698.15657874162</v>
      </c>
      <c r="E129" s="111">
        <f t="shared" si="17"/>
        <v>696.21880522670108</v>
      </c>
      <c r="F129" s="111">
        <f t="shared" si="18"/>
        <v>15264244.301694483</v>
      </c>
      <c r="J129" s="121">
        <v>48611</v>
      </c>
      <c r="K129" s="103">
        <f t="shared" si="13"/>
        <v>255091.40610574093</v>
      </c>
      <c r="L129" s="103">
        <f t="shared" si="14"/>
        <v>254637.1529892814</v>
      </c>
      <c r="M129" s="103">
        <f t="shared" si="15"/>
        <v>454.25311645952752</v>
      </c>
      <c r="N129" s="103">
        <f t="shared" si="16"/>
        <v>15277774.92624048</v>
      </c>
    </row>
    <row r="130" spans="1:14" hidden="1" x14ac:dyDescent="0.25">
      <c r="A130">
        <v>99</v>
      </c>
      <c r="B130" s="112">
        <v>48639</v>
      </c>
      <c r="C130" s="111">
        <f t="shared" si="11"/>
        <v>234394.37538396832</v>
      </c>
      <c r="D130" s="111">
        <f t="shared" si="12"/>
        <v>233687.49783748164</v>
      </c>
      <c r="E130" s="111">
        <f t="shared" si="17"/>
        <v>706.8775464866776</v>
      </c>
      <c r="F130" s="111">
        <f t="shared" si="18"/>
        <v>15263537.424147995</v>
      </c>
      <c r="J130" s="121">
        <v>48639</v>
      </c>
      <c r="K130" s="103">
        <f t="shared" si="13"/>
        <v>255091.40610574093</v>
      </c>
      <c r="L130" s="103">
        <f t="shared" si="14"/>
        <v>254629.5821040071</v>
      </c>
      <c r="M130" s="103">
        <f t="shared" si="15"/>
        <v>461.82400173382484</v>
      </c>
      <c r="N130" s="103">
        <f t="shared" si="16"/>
        <v>15277313.102238746</v>
      </c>
    </row>
    <row r="131" spans="1:14" hidden="1" x14ac:dyDescent="0.25">
      <c r="A131">
        <v>100</v>
      </c>
      <c r="B131" s="112">
        <v>48670</v>
      </c>
      <c r="C131" s="111">
        <f t="shared" si="11"/>
        <v>234394.37538396832</v>
      </c>
      <c r="D131" s="111">
        <f t="shared" si="12"/>
        <v>233676.67591653677</v>
      </c>
      <c r="E131" s="111">
        <f t="shared" si="17"/>
        <v>717.69946743155015</v>
      </c>
      <c r="F131" s="111">
        <f t="shared" si="18"/>
        <v>15262819.724680563</v>
      </c>
      <c r="J131" s="121">
        <v>48670</v>
      </c>
      <c r="K131" s="103">
        <f t="shared" si="13"/>
        <v>255091.40610574093</v>
      </c>
      <c r="L131" s="103">
        <f t="shared" si="14"/>
        <v>254621.88503731153</v>
      </c>
      <c r="M131" s="103">
        <f t="shared" si="15"/>
        <v>469.52106842939975</v>
      </c>
      <c r="N131" s="103">
        <f t="shared" si="16"/>
        <v>15276843.581170317</v>
      </c>
    </row>
    <row r="132" spans="1:14" hidden="1" x14ac:dyDescent="0.25">
      <c r="A132">
        <v>101</v>
      </c>
      <c r="B132" s="112">
        <v>48700</v>
      </c>
      <c r="C132" s="111">
        <f t="shared" si="11"/>
        <v>234394.37538396832</v>
      </c>
      <c r="D132" s="111">
        <f t="shared" si="12"/>
        <v>233665.68831771245</v>
      </c>
      <c r="E132" s="111">
        <f t="shared" si="17"/>
        <v>728.68706625586492</v>
      </c>
      <c r="F132" s="111">
        <f t="shared" si="18"/>
        <v>15262091.037614308</v>
      </c>
      <c r="J132" s="121">
        <v>48700</v>
      </c>
      <c r="K132" s="103">
        <f t="shared" si="13"/>
        <v>255091.40610574093</v>
      </c>
      <c r="L132" s="103">
        <f t="shared" si="14"/>
        <v>254614.05968617104</v>
      </c>
      <c r="M132" s="103">
        <f t="shared" si="15"/>
        <v>477.34641956989071</v>
      </c>
      <c r="N132" s="103">
        <f t="shared" si="16"/>
        <v>15276366.234750748</v>
      </c>
    </row>
    <row r="133" spans="1:14" hidden="1" x14ac:dyDescent="0.25">
      <c r="A133">
        <v>102</v>
      </c>
      <c r="B133" s="112">
        <v>48731</v>
      </c>
      <c r="C133" s="111">
        <f t="shared" si="11"/>
        <v>234394.37538396832</v>
      </c>
      <c r="D133" s="111">
        <f t="shared" si="12"/>
        <v>233654.53250456808</v>
      </c>
      <c r="E133" s="111">
        <f t="shared" si="17"/>
        <v>739.84287940023933</v>
      </c>
      <c r="F133" s="111">
        <f t="shared" si="18"/>
        <v>15261351.194734909</v>
      </c>
      <c r="J133" s="121">
        <v>48731</v>
      </c>
      <c r="K133" s="103">
        <f t="shared" si="13"/>
        <v>255091.40610574093</v>
      </c>
      <c r="L133" s="103">
        <f t="shared" si="14"/>
        <v>254606.10391251155</v>
      </c>
      <c r="M133" s="103">
        <f t="shared" si="15"/>
        <v>485.30219322937774</v>
      </c>
      <c r="N133" s="103">
        <f t="shared" si="16"/>
        <v>15275880.932557518</v>
      </c>
    </row>
    <row r="134" spans="1:14" hidden="1" x14ac:dyDescent="0.25">
      <c r="A134">
        <v>103</v>
      </c>
      <c r="B134" s="112">
        <v>48761</v>
      </c>
      <c r="C134" s="111">
        <f t="shared" si="11"/>
        <v>234394.37538396832</v>
      </c>
      <c r="D134" s="111">
        <f t="shared" si="12"/>
        <v>233643.20590183148</v>
      </c>
      <c r="E134" s="111">
        <f t="shared" si="17"/>
        <v>751.16948213684373</v>
      </c>
      <c r="F134" s="111">
        <f t="shared" si="18"/>
        <v>15260600.025252772</v>
      </c>
      <c r="J134" s="121">
        <v>48761</v>
      </c>
      <c r="K134" s="103">
        <f t="shared" si="13"/>
        <v>255091.40610574093</v>
      </c>
      <c r="L134" s="103">
        <f t="shared" si="14"/>
        <v>254598.0155426244</v>
      </c>
      <c r="M134" s="103">
        <f t="shared" si="15"/>
        <v>493.3905631165253</v>
      </c>
      <c r="N134" s="103">
        <f t="shared" si="16"/>
        <v>15275387.5419944</v>
      </c>
    </row>
    <row r="135" spans="1:14" hidden="1" x14ac:dyDescent="0.25">
      <c r="A135">
        <v>104</v>
      </c>
      <c r="B135" s="112">
        <v>48792</v>
      </c>
      <c r="C135" s="111">
        <f t="shared" si="11"/>
        <v>234394.37538396832</v>
      </c>
      <c r="D135" s="111">
        <f t="shared" si="12"/>
        <v>233631.70589480441</v>
      </c>
      <c r="E135" s="111">
        <f t="shared" si="17"/>
        <v>762.66948916390538</v>
      </c>
      <c r="F135" s="111">
        <f t="shared" si="18"/>
        <v>15259837.355763609</v>
      </c>
      <c r="J135" s="121">
        <v>48792</v>
      </c>
      <c r="K135" s="103">
        <f t="shared" si="13"/>
        <v>255091.40610574093</v>
      </c>
      <c r="L135" s="103">
        <f t="shared" si="14"/>
        <v>254589.79236657242</v>
      </c>
      <c r="M135" s="103">
        <f t="shared" si="15"/>
        <v>501.61373916850425</v>
      </c>
      <c r="N135" s="103">
        <f t="shared" si="16"/>
        <v>15274885.928255232</v>
      </c>
    </row>
    <row r="136" spans="1:14" hidden="1" x14ac:dyDescent="0.25">
      <c r="A136">
        <v>105</v>
      </c>
      <c r="B136" s="112">
        <v>48823</v>
      </c>
      <c r="C136" s="111">
        <f t="shared" si="11"/>
        <v>234394.37538396832</v>
      </c>
      <c r="D136" s="111">
        <f t="shared" si="12"/>
        <v>233620.02982875903</v>
      </c>
      <c r="E136" s="111">
        <f t="shared" si="17"/>
        <v>774.3455552092928</v>
      </c>
      <c r="F136" s="111">
        <f t="shared" si="18"/>
        <v>15259063.0102084</v>
      </c>
      <c r="J136" s="121">
        <v>48823</v>
      </c>
      <c r="K136" s="103">
        <f t="shared" si="13"/>
        <v>255091.40610574093</v>
      </c>
      <c r="L136" s="103">
        <f t="shared" si="14"/>
        <v>254581.43213758629</v>
      </c>
      <c r="M136" s="103">
        <f t="shared" si="15"/>
        <v>509.97396815463435</v>
      </c>
      <c r="N136" s="103">
        <f t="shared" si="16"/>
        <v>15274375.954287078</v>
      </c>
    </row>
    <row r="137" spans="1:14" hidden="1" x14ac:dyDescent="0.25">
      <c r="A137">
        <v>106</v>
      </c>
      <c r="B137" s="112">
        <v>48853</v>
      </c>
      <c r="C137" s="111">
        <f t="shared" si="11"/>
        <v>234394.37538396832</v>
      </c>
      <c r="D137" s="111">
        <f t="shared" si="12"/>
        <v>233608.17500832494</v>
      </c>
      <c r="E137" s="111">
        <f t="shared" si="17"/>
        <v>786.20037564338418</v>
      </c>
      <c r="F137" s="111">
        <f t="shared" si="18"/>
        <v>15258276.809832757</v>
      </c>
      <c r="J137" s="121">
        <v>48853</v>
      </c>
      <c r="K137" s="103">
        <f t="shared" si="13"/>
        <v>255091.40610574093</v>
      </c>
      <c r="L137" s="103">
        <f t="shared" si="14"/>
        <v>254572.93257145039</v>
      </c>
      <c r="M137" s="103">
        <f t="shared" si="15"/>
        <v>518.47353429053328</v>
      </c>
      <c r="N137" s="103">
        <f t="shared" si="16"/>
        <v>15273857.480752788</v>
      </c>
    </row>
    <row r="138" spans="1:14" hidden="1" x14ac:dyDescent="0.25">
      <c r="A138">
        <v>107</v>
      </c>
      <c r="B138" s="112">
        <v>48884</v>
      </c>
      <c r="C138" s="111">
        <f t="shared" si="11"/>
        <v>234394.37538396832</v>
      </c>
      <c r="D138" s="111">
        <f t="shared" si="12"/>
        <v>233596.13869686716</v>
      </c>
      <c r="E138" s="111">
        <f t="shared" si="17"/>
        <v>798.23668710116181</v>
      </c>
      <c r="F138" s="111">
        <f t="shared" si="18"/>
        <v>15257478.573145656</v>
      </c>
      <c r="J138" s="121">
        <v>48884</v>
      </c>
      <c r="K138" s="103">
        <f t="shared" si="13"/>
        <v>255091.40610574093</v>
      </c>
      <c r="L138" s="103">
        <f t="shared" si="14"/>
        <v>254564.29134587891</v>
      </c>
      <c r="M138" s="103">
        <f t="shared" si="15"/>
        <v>527.11475986201549</v>
      </c>
      <c r="N138" s="103">
        <f t="shared" si="16"/>
        <v>15273330.365992926</v>
      </c>
    </row>
    <row r="139" spans="1:14" hidden="1" x14ac:dyDescent="0.25">
      <c r="A139">
        <v>108</v>
      </c>
      <c r="B139" s="112">
        <v>48914</v>
      </c>
      <c r="C139" s="111">
        <f t="shared" si="11"/>
        <v>234394.37538396832</v>
      </c>
      <c r="D139" s="111">
        <f t="shared" si="12"/>
        <v>233583.91811585418</v>
      </c>
      <c r="E139" s="111">
        <f t="shared" si="17"/>
        <v>810.45726811414352</v>
      </c>
      <c r="F139" s="111">
        <f t="shared" si="18"/>
        <v>15256668.115877543</v>
      </c>
      <c r="J139" s="121">
        <v>48914</v>
      </c>
      <c r="K139" s="103">
        <f t="shared" si="13"/>
        <v>255091.40610574093</v>
      </c>
      <c r="L139" s="103">
        <f t="shared" si="14"/>
        <v>254555.5060998812</v>
      </c>
      <c r="M139" s="103">
        <f t="shared" si="15"/>
        <v>535.9000058597303</v>
      </c>
      <c r="N139" s="103">
        <f t="shared" si="16"/>
        <v>15272794.465987066</v>
      </c>
    </row>
    <row r="140" spans="1:14" hidden="1" x14ac:dyDescent="0.25">
      <c r="A140">
        <v>109</v>
      </c>
      <c r="B140" s="112">
        <v>48945</v>
      </c>
      <c r="C140" s="111">
        <f t="shared" si="11"/>
        <v>234394.37538396832</v>
      </c>
      <c r="D140" s="111">
        <f t="shared" si="12"/>
        <v>233571.51044421672</v>
      </c>
      <c r="E140" s="111">
        <f t="shared" si="17"/>
        <v>822.86493975159829</v>
      </c>
      <c r="F140" s="111">
        <f t="shared" si="18"/>
        <v>15255845.250937792</v>
      </c>
      <c r="J140" s="121">
        <v>48945</v>
      </c>
      <c r="K140" s="103">
        <f t="shared" si="13"/>
        <v>255091.40610574093</v>
      </c>
      <c r="L140" s="103">
        <f t="shared" si="14"/>
        <v>254546.57443311685</v>
      </c>
      <c r="M140" s="103">
        <f t="shared" si="15"/>
        <v>544.83167262407369</v>
      </c>
      <c r="N140" s="103">
        <f t="shared" si="16"/>
        <v>15272249.634314442</v>
      </c>
    </row>
    <row r="141" spans="1:14" hidden="1" x14ac:dyDescent="0.25">
      <c r="A141">
        <v>110</v>
      </c>
      <c r="B141" s="112">
        <v>48976</v>
      </c>
      <c r="C141" s="111">
        <f t="shared" si="11"/>
        <v>234394.37538396832</v>
      </c>
      <c r="D141" s="111">
        <f t="shared" si="12"/>
        <v>233558.91281769634</v>
      </c>
      <c r="E141" s="111">
        <f t="shared" si="17"/>
        <v>835.46256627197727</v>
      </c>
      <c r="F141" s="111">
        <f t="shared" si="18"/>
        <v>15255009.78837152</v>
      </c>
      <c r="J141" s="121">
        <v>48976</v>
      </c>
      <c r="K141" s="103">
        <f t="shared" si="13"/>
        <v>255091.40610574093</v>
      </c>
      <c r="L141" s="103">
        <f t="shared" si="14"/>
        <v>254537.4939052398</v>
      </c>
      <c r="M141" s="103">
        <f t="shared" si="15"/>
        <v>553.91220050113043</v>
      </c>
      <c r="N141" s="103">
        <f t="shared" si="16"/>
        <v>15271695.722113941</v>
      </c>
    </row>
    <row r="142" spans="1:14" hidden="1" x14ac:dyDescent="0.25">
      <c r="A142">
        <v>111</v>
      </c>
      <c r="B142" s="112">
        <v>49004</v>
      </c>
      <c r="C142" s="111">
        <f t="shared" si="11"/>
        <v>234394.37538396832</v>
      </c>
      <c r="D142" s="111">
        <f t="shared" si="12"/>
        <v>233546.12232818437</v>
      </c>
      <c r="E142" s="111">
        <f t="shared" si="17"/>
        <v>848.25305578394909</v>
      </c>
      <c r="F142" s="111">
        <f t="shared" si="18"/>
        <v>15254161.535315735</v>
      </c>
      <c r="J142" s="121">
        <v>49004</v>
      </c>
      <c r="K142" s="103">
        <f t="shared" si="13"/>
        <v>255091.40610574093</v>
      </c>
      <c r="L142" s="103">
        <f t="shared" si="14"/>
        <v>254528.26203523146</v>
      </c>
      <c r="M142" s="103">
        <f t="shared" si="15"/>
        <v>563.14407050947193</v>
      </c>
      <c r="N142" s="103">
        <f t="shared" si="16"/>
        <v>15271132.578043431</v>
      </c>
    </row>
    <row r="143" spans="1:14" hidden="1" x14ac:dyDescent="0.25">
      <c r="A143">
        <v>112</v>
      </c>
      <c r="B143" s="112">
        <v>49035</v>
      </c>
      <c r="C143" s="111">
        <f t="shared" si="11"/>
        <v>234394.37538396832</v>
      </c>
      <c r="D143" s="111">
        <f t="shared" si="12"/>
        <v>233533.13602305052</v>
      </c>
      <c r="E143" s="111">
        <f t="shared" si="17"/>
        <v>861.23936091779615</v>
      </c>
      <c r="F143" s="111">
        <f t="shared" si="18"/>
        <v>15253300.295954818</v>
      </c>
      <c r="J143" s="121">
        <v>49035</v>
      </c>
      <c r="K143" s="103">
        <f t="shared" si="13"/>
        <v>255091.40610574093</v>
      </c>
      <c r="L143" s="103">
        <f t="shared" si="14"/>
        <v>254518.87630072294</v>
      </c>
      <c r="M143" s="103">
        <f t="shared" si="15"/>
        <v>572.52980501798447</v>
      </c>
      <c r="N143" s="103">
        <f t="shared" si="16"/>
        <v>15270560.048238413</v>
      </c>
    </row>
    <row r="144" spans="1:14" hidden="1" x14ac:dyDescent="0.25">
      <c r="A144">
        <v>113</v>
      </c>
      <c r="B144" s="112">
        <v>49065</v>
      </c>
      <c r="C144" s="111">
        <f t="shared" si="11"/>
        <v>234394.37538396832</v>
      </c>
      <c r="D144" s="111">
        <f t="shared" si="12"/>
        <v>233519.95090446135</v>
      </c>
      <c r="E144" s="111">
        <f t="shared" si="17"/>
        <v>874.42447950696805</v>
      </c>
      <c r="F144" s="111">
        <f t="shared" si="18"/>
        <v>15252425.871475311</v>
      </c>
      <c r="J144" s="121">
        <v>49065</v>
      </c>
      <c r="K144" s="103">
        <f t="shared" si="13"/>
        <v>255091.40610574093</v>
      </c>
      <c r="L144" s="103">
        <f t="shared" si="14"/>
        <v>254509.334137306</v>
      </c>
      <c r="M144" s="103">
        <f t="shared" si="15"/>
        <v>582.07196843493148</v>
      </c>
      <c r="N144" s="103">
        <f t="shared" si="16"/>
        <v>15269977.976269979</v>
      </c>
    </row>
    <row r="145" spans="1:14" hidden="1" x14ac:dyDescent="0.25">
      <c r="A145">
        <v>114</v>
      </c>
      <c r="B145" s="112">
        <v>49096</v>
      </c>
      <c r="C145" s="111">
        <f t="shared" si="11"/>
        <v>234394.37538396832</v>
      </c>
      <c r="D145" s="111">
        <f t="shared" si="12"/>
        <v>233506.56392868809</v>
      </c>
      <c r="E145" s="111">
        <f t="shared" si="17"/>
        <v>887.81145528022898</v>
      </c>
      <c r="F145" s="111">
        <f t="shared" si="18"/>
        <v>15251538.060020031</v>
      </c>
      <c r="J145" s="121">
        <v>49096</v>
      </c>
      <c r="K145" s="103">
        <f t="shared" si="13"/>
        <v>255091.40610574093</v>
      </c>
      <c r="L145" s="103">
        <f t="shared" si="14"/>
        <v>254499.63293783207</v>
      </c>
      <c r="M145" s="103">
        <f t="shared" si="15"/>
        <v>591.77316790886107</v>
      </c>
      <c r="N145" s="103">
        <f t="shared" si="16"/>
        <v>15269386.203102071</v>
      </c>
    </row>
    <row r="146" spans="1:14" hidden="1" x14ac:dyDescent="0.25">
      <c r="A146">
        <v>115</v>
      </c>
      <c r="B146" s="112">
        <v>49126</v>
      </c>
      <c r="C146" s="111">
        <f t="shared" si="11"/>
        <v>234394.37538396832</v>
      </c>
      <c r="D146" s="111">
        <f t="shared" si="12"/>
        <v>233492.97200540418</v>
      </c>
      <c r="E146" s="111">
        <f t="shared" si="17"/>
        <v>901.4033785641368</v>
      </c>
      <c r="F146" s="111">
        <f t="shared" si="18"/>
        <v>15250636.656641467</v>
      </c>
      <c r="J146" s="121">
        <v>49126</v>
      </c>
      <c r="K146" s="103">
        <f t="shared" si="13"/>
        <v>255091.40610574093</v>
      </c>
      <c r="L146" s="103">
        <f t="shared" si="14"/>
        <v>254489.77005170027</v>
      </c>
      <c r="M146" s="103">
        <f t="shared" si="15"/>
        <v>601.63605404066038</v>
      </c>
      <c r="N146" s="103">
        <f t="shared" si="16"/>
        <v>15268784.56704803</v>
      </c>
    </row>
    <row r="147" spans="1:14" hidden="1" x14ac:dyDescent="0.25">
      <c r="A147">
        <v>116</v>
      </c>
      <c r="B147" s="112">
        <v>49157</v>
      </c>
      <c r="C147" s="111">
        <f t="shared" si="11"/>
        <v>234394.37538396832</v>
      </c>
      <c r="D147" s="111">
        <f t="shared" si="12"/>
        <v>233479.17199697168</v>
      </c>
      <c r="E147" s="111">
        <f t="shared" si="17"/>
        <v>915.20338699663989</v>
      </c>
      <c r="F147" s="111">
        <f t="shared" si="18"/>
        <v>15249721.453254471</v>
      </c>
      <c r="J147" s="121">
        <v>49157</v>
      </c>
      <c r="K147" s="103">
        <f t="shared" si="13"/>
        <v>255091.40610574093</v>
      </c>
      <c r="L147" s="103">
        <f t="shared" si="14"/>
        <v>254479.74278413292</v>
      </c>
      <c r="M147" s="103">
        <f t="shared" si="15"/>
        <v>611.66332160800812</v>
      </c>
      <c r="N147" s="103">
        <f t="shared" si="16"/>
        <v>15268172.903726421</v>
      </c>
    </row>
    <row r="148" spans="1:14" hidden="1" x14ac:dyDescent="0.25">
      <c r="A148">
        <v>117</v>
      </c>
      <c r="B148" s="112">
        <v>49188</v>
      </c>
      <c r="C148" s="111">
        <f t="shared" si="11"/>
        <v>234394.37538396832</v>
      </c>
      <c r="D148" s="111">
        <f t="shared" si="12"/>
        <v>233465.1607177172</v>
      </c>
      <c r="E148" s="111">
        <f t="shared" si="17"/>
        <v>929.21466625112225</v>
      </c>
      <c r="F148" s="111">
        <f t="shared" si="18"/>
        <v>15248792.23858822</v>
      </c>
      <c r="J148" s="121">
        <v>49188</v>
      </c>
      <c r="K148" s="103">
        <f t="shared" si="13"/>
        <v>255091.40610574093</v>
      </c>
      <c r="L148" s="103">
        <f t="shared" si="14"/>
        <v>254469.54839543946</v>
      </c>
      <c r="M148" s="103">
        <f t="shared" si="15"/>
        <v>621.85771030146861</v>
      </c>
      <c r="N148" s="103">
        <f t="shared" si="16"/>
        <v>15267551.046016119</v>
      </c>
    </row>
    <row r="149" spans="1:14" hidden="1" x14ac:dyDescent="0.25">
      <c r="A149">
        <v>118</v>
      </c>
      <c r="B149" s="112">
        <v>49218</v>
      </c>
      <c r="C149" s="111">
        <f t="shared" si="11"/>
        <v>234394.37538396832</v>
      </c>
      <c r="D149" s="111">
        <f t="shared" si="12"/>
        <v>233450.93493319632</v>
      </c>
      <c r="E149" s="111">
        <f t="shared" si="17"/>
        <v>943.44045077200281</v>
      </c>
      <c r="F149" s="111">
        <f t="shared" si="18"/>
        <v>15247848.798137447</v>
      </c>
      <c r="J149" s="121">
        <v>49218</v>
      </c>
      <c r="K149" s="103">
        <f t="shared" si="13"/>
        <v>255091.40610574093</v>
      </c>
      <c r="L149" s="103">
        <f t="shared" si="14"/>
        <v>254459.18410026774</v>
      </c>
      <c r="M149" s="103">
        <f t="shared" si="15"/>
        <v>632.22200547318789</v>
      </c>
      <c r="N149" s="103">
        <f t="shared" si="16"/>
        <v>15266918.824010646</v>
      </c>
    </row>
    <row r="150" spans="1:14" hidden="1" x14ac:dyDescent="0.25">
      <c r="A150">
        <v>119</v>
      </c>
      <c r="B150" s="112">
        <v>49249</v>
      </c>
      <c r="C150" s="111">
        <f t="shared" si="11"/>
        <v>234394.37538396832</v>
      </c>
      <c r="D150" s="111">
        <f t="shared" si="12"/>
        <v>233436.49135944695</v>
      </c>
      <c r="E150" s="111">
        <f t="shared" si="17"/>
        <v>957.88402452136506</v>
      </c>
      <c r="F150" s="111">
        <f t="shared" si="18"/>
        <v>15246890.914112926</v>
      </c>
      <c r="J150" s="121">
        <v>49249</v>
      </c>
      <c r="K150" s="103">
        <f t="shared" si="13"/>
        <v>255091.40610574093</v>
      </c>
      <c r="L150" s="103">
        <f t="shared" si="14"/>
        <v>254448.6470668432</v>
      </c>
      <c r="M150" s="103">
        <f t="shared" si="15"/>
        <v>642.75903889772599</v>
      </c>
      <c r="N150" s="103">
        <f t="shared" si="16"/>
        <v>15266276.064971749</v>
      </c>
    </row>
    <row r="151" spans="1:14" hidden="1" x14ac:dyDescent="0.25">
      <c r="A151">
        <v>120</v>
      </c>
      <c r="B151" s="112">
        <v>49279</v>
      </c>
      <c r="C151" s="111">
        <f t="shared" si="11"/>
        <v>234394.37538396832</v>
      </c>
      <c r="D151" s="111">
        <f t="shared" si="12"/>
        <v>233421.82666223138</v>
      </c>
      <c r="E151" s="111">
        <f t="shared" si="17"/>
        <v>972.5487217369373</v>
      </c>
      <c r="F151" s="111">
        <f t="shared" si="18"/>
        <v>15245918.365391189</v>
      </c>
      <c r="J151" s="121">
        <v>49279</v>
      </c>
      <c r="K151" s="103">
        <f t="shared" si="13"/>
        <v>255091.40610574093</v>
      </c>
      <c r="L151" s="103">
        <f t="shared" si="14"/>
        <v>254437.93441619491</v>
      </c>
      <c r="M151" s="103">
        <f t="shared" si="15"/>
        <v>653.47168954601511</v>
      </c>
      <c r="N151" s="103">
        <f t="shared" si="16"/>
        <v>15265622.593282202</v>
      </c>
    </row>
    <row r="152" spans="1:14" hidden="1" x14ac:dyDescent="0.25">
      <c r="A152">
        <v>121</v>
      </c>
      <c r="B152" s="112">
        <v>49310</v>
      </c>
      <c r="C152" s="111">
        <f t="shared" si="11"/>
        <v>234394.37538396832</v>
      </c>
      <c r="D152" s="111">
        <f t="shared" si="12"/>
        <v>233406.93745626643</v>
      </c>
      <c r="E152" s="111">
        <f t="shared" si="17"/>
        <v>987.43792770188884</v>
      </c>
      <c r="F152" s="111">
        <f t="shared" si="18"/>
        <v>15244930.927463487</v>
      </c>
      <c r="J152" s="121">
        <v>49310</v>
      </c>
      <c r="K152" s="103">
        <f t="shared" si="13"/>
        <v>255091.40610574093</v>
      </c>
      <c r="L152" s="103">
        <f t="shared" si="14"/>
        <v>254427.04322136912</v>
      </c>
      <c r="M152" s="103">
        <f t="shared" si="15"/>
        <v>664.36288437180337</v>
      </c>
      <c r="N152" s="103">
        <f t="shared" si="16"/>
        <v>15264958.23039783</v>
      </c>
    </row>
    <row r="153" spans="1:14" hidden="1" x14ac:dyDescent="0.25">
      <c r="A153">
        <v>122</v>
      </c>
      <c r="B153" s="112">
        <v>49341</v>
      </c>
      <c r="C153" s="111">
        <f t="shared" si="11"/>
        <v>234394.37538396832</v>
      </c>
      <c r="D153" s="111">
        <f t="shared" si="12"/>
        <v>233391.82030444194</v>
      </c>
      <c r="E153" s="111">
        <f t="shared" si="17"/>
        <v>1002.5550795263844</v>
      </c>
      <c r="F153" s="111">
        <f t="shared" si="18"/>
        <v>15243928.37238396</v>
      </c>
      <c r="J153" s="121">
        <v>49341</v>
      </c>
      <c r="K153" s="103">
        <f t="shared" si="13"/>
        <v>255091.40610574093</v>
      </c>
      <c r="L153" s="103">
        <f t="shared" si="14"/>
        <v>254415.97050662959</v>
      </c>
      <c r="M153" s="103">
        <f t="shared" si="15"/>
        <v>675.43559911134071</v>
      </c>
      <c r="N153" s="103">
        <f t="shared" si="16"/>
        <v>15264282.794798719</v>
      </c>
    </row>
    <row r="154" spans="1:14" hidden="1" x14ac:dyDescent="0.25">
      <c r="A154">
        <v>123</v>
      </c>
      <c r="B154" s="112">
        <v>49369</v>
      </c>
      <c r="C154" s="111">
        <f t="shared" si="11"/>
        <v>234394.37538396832</v>
      </c>
      <c r="D154" s="111">
        <f t="shared" si="12"/>
        <v>233376.47171702757</v>
      </c>
      <c r="E154" s="111">
        <f t="shared" si="17"/>
        <v>1017.9036669407506</v>
      </c>
      <c r="F154" s="111">
        <f t="shared" si="18"/>
        <v>15242910.468717018</v>
      </c>
      <c r="J154" s="121">
        <v>49369</v>
      </c>
      <c r="K154" s="103">
        <f t="shared" si="13"/>
        <v>255091.40610574093</v>
      </c>
      <c r="L154" s="103">
        <f t="shared" si="14"/>
        <v>254404.71324664442</v>
      </c>
      <c r="M154" s="103">
        <f t="shared" si="15"/>
        <v>686.6928590965108</v>
      </c>
      <c r="N154" s="103">
        <f t="shared" si="16"/>
        <v>15263596.101939622</v>
      </c>
    </row>
    <row r="155" spans="1:14" hidden="1" x14ac:dyDescent="0.25">
      <c r="A155">
        <v>124</v>
      </c>
      <c r="B155" s="112">
        <v>49400</v>
      </c>
      <c r="C155" s="111">
        <f t="shared" si="11"/>
        <v>234394.37538396832</v>
      </c>
      <c r="D155" s="111">
        <f t="shared" si="12"/>
        <v>233360.88815086696</v>
      </c>
      <c r="E155" s="111">
        <f t="shared" si="17"/>
        <v>1033.4872331013612</v>
      </c>
      <c r="F155" s="111">
        <f t="shared" si="18"/>
        <v>15241876.981483918</v>
      </c>
      <c r="J155" s="121">
        <v>49400</v>
      </c>
      <c r="K155" s="103">
        <f t="shared" si="13"/>
        <v>255091.40610574093</v>
      </c>
      <c r="L155" s="103">
        <f t="shared" si="14"/>
        <v>254393.26836565946</v>
      </c>
      <c r="M155" s="103">
        <f t="shared" si="15"/>
        <v>698.1377400814672</v>
      </c>
      <c r="N155" s="103">
        <f t="shared" si="16"/>
        <v>15262897.964199541</v>
      </c>
    </row>
    <row r="156" spans="1:14" hidden="1" x14ac:dyDescent="0.25">
      <c r="A156">
        <v>125</v>
      </c>
      <c r="B156" s="112">
        <v>49430</v>
      </c>
      <c r="C156" s="111">
        <f t="shared" si="11"/>
        <v>234394.37538396832</v>
      </c>
      <c r="D156" s="111">
        <f t="shared" si="12"/>
        <v>233345.06600855995</v>
      </c>
      <c r="E156" s="111">
        <f t="shared" si="17"/>
        <v>1049.3093754083675</v>
      </c>
      <c r="F156" s="111">
        <f t="shared" si="18"/>
        <v>15240827.672108509</v>
      </c>
      <c r="J156" s="121">
        <v>49430</v>
      </c>
      <c r="K156" s="103">
        <f t="shared" si="13"/>
        <v>255091.40610574093</v>
      </c>
      <c r="L156" s="103">
        <f t="shared" si="14"/>
        <v>254381.63273665812</v>
      </c>
      <c r="M156" s="103">
        <f t="shared" si="15"/>
        <v>709.77336908280267</v>
      </c>
      <c r="N156" s="103">
        <f t="shared" si="16"/>
        <v>15262188.190830458</v>
      </c>
    </row>
    <row r="157" spans="1:14" hidden="1" x14ac:dyDescent="0.25">
      <c r="A157">
        <v>126</v>
      </c>
      <c r="B157" s="112">
        <v>49461</v>
      </c>
      <c r="C157" s="111">
        <f t="shared" si="11"/>
        <v>234394.37538396832</v>
      </c>
      <c r="D157" s="111">
        <f t="shared" si="12"/>
        <v>233329.00163763203</v>
      </c>
      <c r="E157" s="111">
        <f t="shared" si="17"/>
        <v>1065.3737463362922</v>
      </c>
      <c r="F157" s="111">
        <f t="shared" si="18"/>
        <v>15239762.298362173</v>
      </c>
      <c r="J157" s="121">
        <v>49461</v>
      </c>
      <c r="K157" s="103">
        <f t="shared" si="13"/>
        <v>255091.40610574093</v>
      </c>
      <c r="L157" s="103">
        <f t="shared" si="14"/>
        <v>254369.80318050671</v>
      </c>
      <c r="M157" s="103">
        <f t="shared" si="15"/>
        <v>721.60292523421231</v>
      </c>
      <c r="N157" s="103">
        <f t="shared" si="16"/>
        <v>15261466.587905224</v>
      </c>
    </row>
    <row r="158" spans="1:14" hidden="1" x14ac:dyDescent="0.25">
      <c r="A158">
        <v>127</v>
      </c>
      <c r="B158" s="112">
        <v>49491</v>
      </c>
      <c r="C158" s="111">
        <f t="shared" si="11"/>
        <v>234394.37538396832</v>
      </c>
      <c r="D158" s="111">
        <f t="shared" si="12"/>
        <v>233312.69132969133</v>
      </c>
      <c r="E158" s="111">
        <f t="shared" si="17"/>
        <v>1081.6840542769933</v>
      </c>
      <c r="F158" s="111">
        <f t="shared" si="18"/>
        <v>15238680.614307895</v>
      </c>
      <c r="J158" s="121">
        <v>49491</v>
      </c>
      <c r="K158" s="103">
        <f t="shared" si="13"/>
        <v>255091.40610574093</v>
      </c>
      <c r="L158" s="103">
        <f t="shared" si="14"/>
        <v>254357.77646508618</v>
      </c>
      <c r="M158" s="103">
        <f t="shared" si="15"/>
        <v>733.62964065474807</v>
      </c>
      <c r="N158" s="103">
        <f t="shared" si="16"/>
        <v>15260732.958264569</v>
      </c>
    </row>
    <row r="159" spans="1:14" hidden="1" x14ac:dyDescent="0.25">
      <c r="A159">
        <v>128</v>
      </c>
      <c r="B159" s="112">
        <v>49522</v>
      </c>
      <c r="C159" s="111">
        <f t="shared" si="11"/>
        <v>234394.37538396832</v>
      </c>
      <c r="D159" s="111">
        <f t="shared" si="12"/>
        <v>233296.13131957233</v>
      </c>
      <c r="E159" s="111">
        <f t="shared" si="17"/>
        <v>1098.2440643959853</v>
      </c>
      <c r="F159" s="111">
        <f t="shared" si="18"/>
        <v>15237582.370243499</v>
      </c>
      <c r="J159" s="121">
        <v>49522</v>
      </c>
      <c r="K159" s="103">
        <f t="shared" si="13"/>
        <v>255091.40610574093</v>
      </c>
      <c r="L159" s="103">
        <f t="shared" si="14"/>
        <v>254345.54930440857</v>
      </c>
      <c r="M159" s="103">
        <f t="shared" si="15"/>
        <v>745.85680133235292</v>
      </c>
      <c r="N159" s="103">
        <f t="shared" si="16"/>
        <v>15259987.101463236</v>
      </c>
    </row>
    <row r="160" spans="1:14" hidden="1" x14ac:dyDescent="0.25">
      <c r="A160">
        <v>129</v>
      </c>
      <c r="B160" s="112">
        <v>49553</v>
      </c>
      <c r="C160" s="111">
        <f t="shared" ref="C160:C223" si="19">x</f>
        <v>234394.37538396832</v>
      </c>
      <c r="D160" s="111">
        <f t="shared" ref="D160:D223" si="20">F159*((1+ANNUAL_INTEREST_RATE)^(1/12)-1)</f>
        <v>233279.31778446696</v>
      </c>
      <c r="E160" s="111">
        <f t="shared" si="17"/>
        <v>1115.0575995013642</v>
      </c>
      <c r="F160" s="111">
        <f t="shared" si="18"/>
        <v>15236467.312643997</v>
      </c>
      <c r="J160" s="121">
        <v>49553</v>
      </c>
      <c r="K160" s="103">
        <f t="shared" si="13"/>
        <v>255091.40610574093</v>
      </c>
      <c r="L160" s="103">
        <f t="shared" si="14"/>
        <v>254333.11835771971</v>
      </c>
      <c r="M160" s="103">
        <f t="shared" si="15"/>
        <v>758.28774802121916</v>
      </c>
      <c r="N160" s="103">
        <f t="shared" si="16"/>
        <v>15259228.813715214</v>
      </c>
    </row>
    <row r="161" spans="1:14" hidden="1" x14ac:dyDescent="0.25">
      <c r="A161">
        <v>130</v>
      </c>
      <c r="B161" s="112">
        <v>49583</v>
      </c>
      <c r="C161" s="111">
        <f t="shared" si="19"/>
        <v>234394.37538396832</v>
      </c>
      <c r="D161" s="111">
        <f t="shared" si="20"/>
        <v>233262.24684304188</v>
      </c>
      <c r="E161" s="111">
        <f t="shared" si="17"/>
        <v>1132.1285409264383</v>
      </c>
      <c r="F161" s="111">
        <f t="shared" si="18"/>
        <v>15235335.184103072</v>
      </c>
      <c r="J161" s="121">
        <v>49583</v>
      </c>
      <c r="K161" s="103">
        <f t="shared" ref="K161:K224" si="21">$L$23</f>
        <v>255091.40610574093</v>
      </c>
      <c r="L161" s="103">
        <f t="shared" ref="L161:L224" si="22">N160*((1+$L$5)^(1/12)-1)</f>
        <v>254320.48022858601</v>
      </c>
      <c r="M161" s="103">
        <f t="shared" ref="M161:M224" si="23">K161-L161</f>
        <v>770.92587715492118</v>
      </c>
      <c r="N161" s="103">
        <f t="shared" ref="N161:N224" si="24">N160-M161</f>
        <v>15258457.887838058</v>
      </c>
    </row>
    <row r="162" spans="1:14" hidden="1" x14ac:dyDescent="0.25">
      <c r="A162">
        <v>131</v>
      </c>
      <c r="B162" s="112">
        <v>49614</v>
      </c>
      <c r="C162" s="111">
        <f t="shared" si="19"/>
        <v>234394.37538396832</v>
      </c>
      <c r="D162" s="111">
        <f t="shared" si="20"/>
        <v>233244.91455454269</v>
      </c>
      <c r="E162" s="111">
        <f t="shared" si="17"/>
        <v>1149.4608294256323</v>
      </c>
      <c r="F162" s="111">
        <f t="shared" si="18"/>
        <v>15234185.723273646</v>
      </c>
      <c r="J162" s="121">
        <v>49614</v>
      </c>
      <c r="K162" s="103">
        <f t="shared" si="21"/>
        <v>255091.40610574093</v>
      </c>
      <c r="L162" s="103">
        <f t="shared" si="22"/>
        <v>254307.63146396674</v>
      </c>
      <c r="M162" s="103">
        <f t="shared" si="23"/>
        <v>783.77464177418733</v>
      </c>
      <c r="N162" s="103">
        <f t="shared" si="24"/>
        <v>15257674.113196284</v>
      </c>
    </row>
    <row r="163" spans="1:14" hidden="1" x14ac:dyDescent="0.25">
      <c r="A163">
        <v>132</v>
      </c>
      <c r="B163" s="112">
        <v>49644</v>
      </c>
      <c r="C163" s="111">
        <f t="shared" si="19"/>
        <v>234394.37538396832</v>
      </c>
      <c r="D163" s="111">
        <f t="shared" si="20"/>
        <v>233227.31691788399</v>
      </c>
      <c r="E163" s="111">
        <f t="shared" si="17"/>
        <v>1167.0584660843306</v>
      </c>
      <c r="F163" s="111">
        <f t="shared" si="18"/>
        <v>15233018.664807562</v>
      </c>
      <c r="J163" s="121">
        <v>49644</v>
      </c>
      <c r="K163" s="103">
        <f t="shared" si="21"/>
        <v>255091.40610574093</v>
      </c>
      <c r="L163" s="103">
        <f t="shared" si="22"/>
        <v>254294.56855327048</v>
      </c>
      <c r="M163" s="103">
        <f t="shared" si="23"/>
        <v>796.8375524704461</v>
      </c>
      <c r="N163" s="103">
        <f t="shared" si="24"/>
        <v>15256877.275643812</v>
      </c>
    </row>
    <row r="164" spans="1:14" hidden="1" x14ac:dyDescent="0.25">
      <c r="A164">
        <v>133</v>
      </c>
      <c r="B164" s="112">
        <v>49675</v>
      </c>
      <c r="C164" s="111">
        <f t="shared" si="19"/>
        <v>234394.37538396832</v>
      </c>
      <c r="D164" s="111">
        <f t="shared" si="20"/>
        <v>233209.44987072601</v>
      </c>
      <c r="E164" s="111">
        <f t="shared" ref="E164:E227" si="25">C164-D164</f>
        <v>1184.9255132423132</v>
      </c>
      <c r="F164" s="111">
        <f t="shared" ref="F164:F227" si="26">F163-E164</f>
        <v>15231833.73929432</v>
      </c>
      <c r="J164" s="121">
        <v>49675</v>
      </c>
      <c r="K164" s="103">
        <f t="shared" si="21"/>
        <v>255091.40610574093</v>
      </c>
      <c r="L164" s="103">
        <f t="shared" si="22"/>
        <v>254281.28792739598</v>
      </c>
      <c r="M164" s="103">
        <f t="shared" si="23"/>
        <v>810.11817834494286</v>
      </c>
      <c r="N164" s="103">
        <f t="shared" si="24"/>
        <v>15256067.157465467</v>
      </c>
    </row>
    <row r="165" spans="1:14" hidden="1" x14ac:dyDescent="0.25">
      <c r="A165">
        <v>134</v>
      </c>
      <c r="B165" s="112">
        <v>49706</v>
      </c>
      <c r="C165" s="111">
        <f t="shared" si="19"/>
        <v>234394.37538396832</v>
      </c>
      <c r="D165" s="111">
        <f t="shared" si="20"/>
        <v>233191.30928853666</v>
      </c>
      <c r="E165" s="111">
        <f t="shared" si="25"/>
        <v>1203.0660954316554</v>
      </c>
      <c r="F165" s="111">
        <f t="shared" si="26"/>
        <v>15230630.673198888</v>
      </c>
      <c r="J165" s="121">
        <v>49706</v>
      </c>
      <c r="K165" s="103">
        <f t="shared" si="21"/>
        <v>255091.40610574093</v>
      </c>
      <c r="L165" s="103">
        <f t="shared" si="22"/>
        <v>254267.78595775689</v>
      </c>
      <c r="M165" s="103">
        <f t="shared" si="23"/>
        <v>823.62014798403834</v>
      </c>
      <c r="N165" s="103">
        <f t="shared" si="24"/>
        <v>15255243.537317483</v>
      </c>
    </row>
    <row r="166" spans="1:14" hidden="1" x14ac:dyDescent="0.25">
      <c r="A166">
        <v>135</v>
      </c>
      <c r="B166" s="112">
        <v>49735</v>
      </c>
      <c r="C166" s="111">
        <f t="shared" si="19"/>
        <v>234394.37538396832</v>
      </c>
      <c r="D166" s="111">
        <f t="shared" si="20"/>
        <v>233172.8909836394</v>
      </c>
      <c r="E166" s="111">
        <f t="shared" si="25"/>
        <v>1221.4844003289181</v>
      </c>
      <c r="F166" s="111">
        <f t="shared" si="26"/>
        <v>15229409.18879856</v>
      </c>
      <c r="J166" s="121">
        <v>49735</v>
      </c>
      <c r="K166" s="103">
        <f t="shared" si="21"/>
        <v>255091.40610574093</v>
      </c>
      <c r="L166" s="103">
        <f t="shared" si="22"/>
        <v>254254.05895529047</v>
      </c>
      <c r="M166" s="103">
        <f t="shared" si="23"/>
        <v>837.34715045045596</v>
      </c>
      <c r="N166" s="103">
        <f t="shared" si="24"/>
        <v>15254406.190167032</v>
      </c>
    </row>
    <row r="167" spans="1:14" hidden="1" x14ac:dyDescent="0.25">
      <c r="A167">
        <v>136</v>
      </c>
      <c r="B167" s="112">
        <v>49766</v>
      </c>
      <c r="C167" s="111">
        <f t="shared" si="19"/>
        <v>234394.37538396832</v>
      </c>
      <c r="D167" s="111">
        <f t="shared" si="20"/>
        <v>233154.19070424669</v>
      </c>
      <c r="E167" s="111">
        <f t="shared" si="25"/>
        <v>1240.1846797216276</v>
      </c>
      <c r="F167" s="111">
        <f t="shared" si="26"/>
        <v>15228169.004118837</v>
      </c>
      <c r="J167" s="121">
        <v>49766</v>
      </c>
      <c r="K167" s="103">
        <f t="shared" si="21"/>
        <v>255091.40610574093</v>
      </c>
      <c r="L167" s="103">
        <f t="shared" si="22"/>
        <v>254240.10316944963</v>
      </c>
      <c r="M167" s="103">
        <f t="shared" si="23"/>
        <v>851.30293629129301</v>
      </c>
      <c r="N167" s="103">
        <f t="shared" si="24"/>
        <v>15253554.887230741</v>
      </c>
    </row>
    <row r="168" spans="1:14" hidden="1" x14ac:dyDescent="0.25">
      <c r="A168">
        <v>137</v>
      </c>
      <c r="B168" s="112">
        <v>49796</v>
      </c>
      <c r="C168" s="111">
        <f t="shared" si="19"/>
        <v>234394.37538396832</v>
      </c>
      <c r="D168" s="111">
        <f t="shared" si="20"/>
        <v>233135.20413347828</v>
      </c>
      <c r="E168" s="111">
        <f t="shared" si="25"/>
        <v>1259.1712504900352</v>
      </c>
      <c r="F168" s="111">
        <f t="shared" si="26"/>
        <v>15226909.832868347</v>
      </c>
      <c r="J168" s="121">
        <v>49796</v>
      </c>
      <c r="K168" s="103">
        <f t="shared" si="21"/>
        <v>255091.40610574093</v>
      </c>
      <c r="L168" s="103">
        <f t="shared" si="22"/>
        <v>254225.9147871781</v>
      </c>
      <c r="M168" s="103">
        <f t="shared" si="23"/>
        <v>865.49131856282474</v>
      </c>
      <c r="N168" s="103">
        <f t="shared" si="24"/>
        <v>15252689.395912178</v>
      </c>
    </row>
    <row r="169" spans="1:14" hidden="1" x14ac:dyDescent="0.25">
      <c r="A169">
        <v>138</v>
      </c>
      <c r="B169" s="112">
        <v>49827</v>
      </c>
      <c r="C169" s="111">
        <f t="shared" si="19"/>
        <v>234394.37538396832</v>
      </c>
      <c r="D169" s="111">
        <f t="shared" si="20"/>
        <v>233115.92688836477</v>
      </c>
      <c r="E169" s="111">
        <f t="shared" si="25"/>
        <v>1278.4484956035449</v>
      </c>
      <c r="F169" s="111">
        <f t="shared" si="26"/>
        <v>15225631.384372743</v>
      </c>
      <c r="J169" s="121">
        <v>49827</v>
      </c>
      <c r="K169" s="103">
        <f t="shared" si="21"/>
        <v>255091.40610574093</v>
      </c>
      <c r="L169" s="103">
        <f t="shared" si="22"/>
        <v>254211.48993186874</v>
      </c>
      <c r="M169" s="103">
        <f t="shared" si="23"/>
        <v>879.91617387218866</v>
      </c>
      <c r="N169" s="103">
        <f t="shared" si="24"/>
        <v>15251809.479738306</v>
      </c>
    </row>
    <row r="170" spans="1:14" hidden="1" x14ac:dyDescent="0.25">
      <c r="A170">
        <v>139</v>
      </c>
      <c r="B170" s="112">
        <v>49857</v>
      </c>
      <c r="C170" s="111">
        <f t="shared" si="19"/>
        <v>234394.37538396832</v>
      </c>
      <c r="D170" s="111">
        <f t="shared" si="20"/>
        <v>233096.3545188359</v>
      </c>
      <c r="E170" s="111">
        <f t="shared" si="25"/>
        <v>1298.020865132421</v>
      </c>
      <c r="F170" s="111">
        <f t="shared" si="26"/>
        <v>15224333.36350761</v>
      </c>
      <c r="J170" s="121">
        <v>49857</v>
      </c>
      <c r="K170" s="103">
        <f t="shared" si="21"/>
        <v>255091.40610574093</v>
      </c>
      <c r="L170" s="103">
        <f t="shared" si="22"/>
        <v>254196.82466230419</v>
      </c>
      <c r="M170" s="103">
        <f t="shared" si="23"/>
        <v>894.58144343673484</v>
      </c>
      <c r="N170" s="103">
        <f t="shared" si="24"/>
        <v>15250914.89829487</v>
      </c>
    </row>
    <row r="171" spans="1:14" hidden="1" x14ac:dyDescent="0.25">
      <c r="A171">
        <v>140</v>
      </c>
      <c r="B171" s="112">
        <v>49888</v>
      </c>
      <c r="C171" s="111">
        <f t="shared" si="19"/>
        <v>234394.37538396832</v>
      </c>
      <c r="D171" s="111">
        <f t="shared" si="20"/>
        <v>233076.48250669311</v>
      </c>
      <c r="E171" s="111">
        <f t="shared" si="25"/>
        <v>1317.8928772752115</v>
      </c>
      <c r="F171" s="111">
        <f t="shared" si="26"/>
        <v>15223015.470630335</v>
      </c>
      <c r="J171" s="121">
        <v>49888</v>
      </c>
      <c r="K171" s="103">
        <f t="shared" si="21"/>
        <v>255091.40610574093</v>
      </c>
      <c r="L171" s="103">
        <f t="shared" si="22"/>
        <v>254181.91497158026</v>
      </c>
      <c r="M171" s="103">
        <f t="shared" si="23"/>
        <v>909.49113416066393</v>
      </c>
      <c r="N171" s="103">
        <f t="shared" si="24"/>
        <v>15250005.407160709</v>
      </c>
    </row>
    <row r="172" spans="1:14" hidden="1" x14ac:dyDescent="0.25">
      <c r="A172">
        <v>141</v>
      </c>
      <c r="B172" s="112">
        <v>49919</v>
      </c>
      <c r="C172" s="111">
        <f t="shared" si="19"/>
        <v>234394.37538396832</v>
      </c>
      <c r="D172" s="111">
        <f t="shared" si="20"/>
        <v>233056.30626456667</v>
      </c>
      <c r="E172" s="111">
        <f t="shared" si="25"/>
        <v>1338.0691194016545</v>
      </c>
      <c r="F172" s="111">
        <f t="shared" si="26"/>
        <v>15221677.401510933</v>
      </c>
      <c r="J172" s="121">
        <v>49919</v>
      </c>
      <c r="K172" s="103">
        <f t="shared" si="21"/>
        <v>255091.40610574093</v>
      </c>
      <c r="L172" s="103">
        <f t="shared" si="22"/>
        <v>254166.7567860109</v>
      </c>
      <c r="M172" s="103">
        <f t="shared" si="23"/>
        <v>924.64931973002967</v>
      </c>
      <c r="N172" s="103">
        <f t="shared" si="24"/>
        <v>15249080.757840978</v>
      </c>
    </row>
    <row r="173" spans="1:14" hidden="1" x14ac:dyDescent="0.25">
      <c r="A173">
        <v>142</v>
      </c>
      <c r="B173" s="112">
        <v>49949</v>
      </c>
      <c r="C173" s="111">
        <f t="shared" si="19"/>
        <v>234394.37538396832</v>
      </c>
      <c r="D173" s="111">
        <f t="shared" si="20"/>
        <v>233035.82113485658</v>
      </c>
      <c r="E173" s="111">
        <f t="shared" si="25"/>
        <v>1358.5542491117376</v>
      </c>
      <c r="F173" s="111">
        <f t="shared" si="26"/>
        <v>15220318.847261822</v>
      </c>
      <c r="J173" s="121">
        <v>49949</v>
      </c>
      <c r="K173" s="103">
        <f t="shared" si="21"/>
        <v>255091.40610574093</v>
      </c>
      <c r="L173" s="103">
        <f t="shared" si="22"/>
        <v>254151.3459640154</v>
      </c>
      <c r="M173" s="103">
        <f t="shared" si="23"/>
        <v>940.06014172552386</v>
      </c>
      <c r="N173" s="103">
        <f t="shared" si="24"/>
        <v>15248140.697699253</v>
      </c>
    </row>
    <row r="174" spans="1:14" hidden="1" x14ac:dyDescent="0.25">
      <c r="A174">
        <v>143</v>
      </c>
      <c r="B174" s="112">
        <v>49980</v>
      </c>
      <c r="C174" s="111">
        <f t="shared" si="19"/>
        <v>234394.37538396832</v>
      </c>
      <c r="D174" s="111">
        <f t="shared" si="20"/>
        <v>233015.02238865753</v>
      </c>
      <c r="E174" s="111">
        <f t="shared" si="25"/>
        <v>1379.3529953107936</v>
      </c>
      <c r="F174" s="111">
        <f t="shared" si="26"/>
        <v>15218939.494266512</v>
      </c>
      <c r="J174" s="121">
        <v>49980</v>
      </c>
      <c r="K174" s="103">
        <f t="shared" si="21"/>
        <v>255091.40610574093</v>
      </c>
      <c r="L174" s="103">
        <f t="shared" si="22"/>
        <v>254135.67829498663</v>
      </c>
      <c r="M174" s="103">
        <f t="shared" si="23"/>
        <v>955.72781075429521</v>
      </c>
      <c r="N174" s="103">
        <f t="shared" si="24"/>
        <v>15247184.969888499</v>
      </c>
    </row>
    <row r="175" spans="1:14" hidden="1" x14ac:dyDescent="0.25">
      <c r="A175">
        <v>144</v>
      </c>
      <c r="B175" s="112">
        <v>50010</v>
      </c>
      <c r="C175" s="111">
        <f t="shared" si="19"/>
        <v>234394.37538396832</v>
      </c>
      <c r="D175" s="111">
        <f t="shared" si="20"/>
        <v>232993.90522466711</v>
      </c>
      <c r="E175" s="111">
        <f t="shared" si="25"/>
        <v>1400.4701593012142</v>
      </c>
      <c r="F175" s="111">
        <f t="shared" si="26"/>
        <v>15217539.02410721</v>
      </c>
      <c r="J175" s="121">
        <v>50010</v>
      </c>
      <c r="K175" s="103">
        <f t="shared" si="21"/>
        <v>255091.40610574093</v>
      </c>
      <c r="L175" s="103">
        <f t="shared" si="22"/>
        <v>254119.74949814074</v>
      </c>
      <c r="M175" s="103">
        <f t="shared" si="23"/>
        <v>971.65660760019091</v>
      </c>
      <c r="N175" s="103">
        <f t="shared" si="24"/>
        <v>15246213.313280899</v>
      </c>
    </row>
    <row r="176" spans="1:14" hidden="1" x14ac:dyDescent="0.25">
      <c r="A176">
        <v>145</v>
      </c>
      <c r="B176" s="112">
        <v>50041</v>
      </c>
      <c r="C176" s="111">
        <f t="shared" si="19"/>
        <v>234394.37538396832</v>
      </c>
      <c r="D176" s="111">
        <f t="shared" si="20"/>
        <v>232972.46476807754</v>
      </c>
      <c r="E176" s="111">
        <f t="shared" si="25"/>
        <v>1421.9106158907816</v>
      </c>
      <c r="F176" s="111">
        <f t="shared" si="26"/>
        <v>15216117.113491319</v>
      </c>
      <c r="J176" s="121">
        <v>50041</v>
      </c>
      <c r="K176" s="103">
        <f t="shared" si="21"/>
        <v>255091.40610574093</v>
      </c>
      <c r="L176" s="103">
        <f t="shared" si="22"/>
        <v>254103.55522134743</v>
      </c>
      <c r="M176" s="103">
        <f t="shared" si="23"/>
        <v>987.85088439349784</v>
      </c>
      <c r="N176" s="103">
        <f t="shared" si="24"/>
        <v>15245225.462396506</v>
      </c>
    </row>
    <row r="177" spans="1:14" hidden="1" x14ac:dyDescent="0.25">
      <c r="A177">
        <v>146</v>
      </c>
      <c r="B177" s="112">
        <v>50072</v>
      </c>
      <c r="C177" s="111">
        <f t="shared" si="19"/>
        <v>234394.37538396832</v>
      </c>
      <c r="D177" s="111">
        <f t="shared" si="20"/>
        <v>232950.69606945029</v>
      </c>
      <c r="E177" s="111">
        <f t="shared" si="25"/>
        <v>1443.6793145180272</v>
      </c>
      <c r="F177" s="111">
        <f t="shared" si="26"/>
        <v>15214673.434176801</v>
      </c>
      <c r="J177" s="121">
        <v>50072</v>
      </c>
      <c r="K177" s="103">
        <f t="shared" si="21"/>
        <v>255091.40610574093</v>
      </c>
      <c r="L177" s="103">
        <f t="shared" si="22"/>
        <v>254087.09103994086</v>
      </c>
      <c r="M177" s="103">
        <f t="shared" si="23"/>
        <v>1004.3150658000668</v>
      </c>
      <c r="N177" s="103">
        <f t="shared" si="24"/>
        <v>15244221.147330707</v>
      </c>
    </row>
    <row r="178" spans="1:14" hidden="1" x14ac:dyDescent="0.25">
      <c r="A178">
        <v>147</v>
      </c>
      <c r="B178" s="112">
        <v>50100</v>
      </c>
      <c r="C178" s="111">
        <f t="shared" si="19"/>
        <v>234394.37538396832</v>
      </c>
      <c r="D178" s="111">
        <f t="shared" si="20"/>
        <v>232928.59410357362</v>
      </c>
      <c r="E178" s="111">
        <f t="shared" si="25"/>
        <v>1465.7812803947018</v>
      </c>
      <c r="F178" s="111">
        <f t="shared" si="26"/>
        <v>15213207.652896406</v>
      </c>
      <c r="J178" s="121">
        <v>50100</v>
      </c>
      <c r="K178" s="103">
        <f t="shared" si="21"/>
        <v>255091.40610574093</v>
      </c>
      <c r="L178" s="103">
        <f t="shared" si="22"/>
        <v>254070.35245551087</v>
      </c>
      <c r="M178" s="103">
        <f t="shared" si="23"/>
        <v>1021.0536502300529</v>
      </c>
      <c r="N178" s="103">
        <f t="shared" si="24"/>
        <v>15243200.093680477</v>
      </c>
    </row>
    <row r="179" spans="1:14" hidden="1" x14ac:dyDescent="0.25">
      <c r="A179">
        <v>148</v>
      </c>
      <c r="B179" s="112">
        <v>50131</v>
      </c>
      <c r="C179" s="111">
        <f t="shared" si="19"/>
        <v>234394.37538396832</v>
      </c>
      <c r="D179" s="111">
        <f t="shared" si="20"/>
        <v>232906.15376830235</v>
      </c>
      <c r="E179" s="111">
        <f t="shared" si="25"/>
        <v>1488.2216156659706</v>
      </c>
      <c r="F179" s="111">
        <f t="shared" si="26"/>
        <v>15211719.43128074</v>
      </c>
      <c r="J179" s="121">
        <v>50131</v>
      </c>
      <c r="K179" s="103">
        <f t="shared" si="21"/>
        <v>255091.40610574093</v>
      </c>
      <c r="L179" s="103">
        <f t="shared" si="22"/>
        <v>254053.33489467372</v>
      </c>
      <c r="M179" s="103">
        <f t="shared" si="23"/>
        <v>1038.071211067203</v>
      </c>
      <c r="N179" s="103">
        <f t="shared" si="24"/>
        <v>15242162.022469409</v>
      </c>
    </row>
    <row r="180" spans="1:14" hidden="1" x14ac:dyDescent="0.25">
      <c r="A180">
        <v>149</v>
      </c>
      <c r="B180" s="112">
        <v>50161</v>
      </c>
      <c r="C180" s="111">
        <f t="shared" si="19"/>
        <v>234394.37538396832</v>
      </c>
      <c r="D180" s="111">
        <f t="shared" si="20"/>
        <v>232883.36988338025</v>
      </c>
      <c r="E180" s="111">
        <f t="shared" si="25"/>
        <v>1511.0055005880713</v>
      </c>
      <c r="F180" s="111">
        <f t="shared" si="26"/>
        <v>15210208.425780151</v>
      </c>
      <c r="J180" s="121">
        <v>50161</v>
      </c>
      <c r="K180" s="103">
        <f t="shared" si="21"/>
        <v>255091.40610574093</v>
      </c>
      <c r="L180" s="103">
        <f t="shared" si="22"/>
        <v>254036.03370782259</v>
      </c>
      <c r="M180" s="103">
        <f t="shared" si="23"/>
        <v>1055.3723979183414</v>
      </c>
      <c r="N180" s="103">
        <f t="shared" si="24"/>
        <v>15241106.650071491</v>
      </c>
    </row>
    <row r="181" spans="1:14" hidden="1" x14ac:dyDescent="0.25">
      <c r="A181">
        <v>150</v>
      </c>
      <c r="B181" s="112">
        <v>50192</v>
      </c>
      <c r="C181" s="111">
        <f t="shared" si="19"/>
        <v>234394.37538396832</v>
      </c>
      <c r="D181" s="111">
        <f t="shared" si="20"/>
        <v>232860.23718924404</v>
      </c>
      <c r="E181" s="111">
        <f t="shared" si="25"/>
        <v>1534.1381947242771</v>
      </c>
      <c r="F181" s="111">
        <f t="shared" si="26"/>
        <v>15208674.287585426</v>
      </c>
      <c r="J181" s="121">
        <v>50192</v>
      </c>
      <c r="K181" s="103">
        <f t="shared" si="21"/>
        <v>255091.40610574093</v>
      </c>
      <c r="L181" s="103">
        <f t="shared" si="22"/>
        <v>254018.44416785726</v>
      </c>
      <c r="M181" s="103">
        <f t="shared" si="23"/>
        <v>1072.9619378836651</v>
      </c>
      <c r="N181" s="103">
        <f t="shared" si="24"/>
        <v>15240033.688133607</v>
      </c>
    </row>
    <row r="182" spans="1:14" hidden="1" x14ac:dyDescent="0.25">
      <c r="A182">
        <v>151</v>
      </c>
      <c r="B182" s="112">
        <v>50222</v>
      </c>
      <c r="C182" s="111">
        <f t="shared" si="19"/>
        <v>234394.37538396832</v>
      </c>
      <c r="D182" s="111">
        <f t="shared" si="20"/>
        <v>232836.75034580939</v>
      </c>
      <c r="E182" s="111">
        <f t="shared" si="25"/>
        <v>1557.6250381589343</v>
      </c>
      <c r="F182" s="111">
        <f t="shared" si="26"/>
        <v>15207116.662547268</v>
      </c>
      <c r="J182" s="121">
        <v>50222</v>
      </c>
      <c r="K182" s="103">
        <f t="shared" si="21"/>
        <v>255091.40610574093</v>
      </c>
      <c r="L182" s="103">
        <f t="shared" si="22"/>
        <v>254000.56146889256</v>
      </c>
      <c r="M182" s="103">
        <f t="shared" si="23"/>
        <v>1090.844636848371</v>
      </c>
      <c r="N182" s="103">
        <f t="shared" si="24"/>
        <v>15238942.843496758</v>
      </c>
    </row>
    <row r="183" spans="1:14" hidden="1" x14ac:dyDescent="0.25">
      <c r="A183">
        <v>152</v>
      </c>
      <c r="B183" s="112">
        <v>50253</v>
      </c>
      <c r="C183" s="111">
        <f t="shared" si="19"/>
        <v>234394.37538396832</v>
      </c>
      <c r="D183" s="111">
        <f t="shared" si="20"/>
        <v>232812.90393123808</v>
      </c>
      <c r="E183" s="111">
        <f t="shared" si="25"/>
        <v>1581.4714527302422</v>
      </c>
      <c r="F183" s="111">
        <f t="shared" si="26"/>
        <v>15205535.191094538</v>
      </c>
      <c r="J183" s="121">
        <v>50253</v>
      </c>
      <c r="K183" s="103">
        <f t="shared" si="21"/>
        <v>255091.40610574093</v>
      </c>
      <c r="L183" s="103">
        <f t="shared" si="22"/>
        <v>253982.38072494508</v>
      </c>
      <c r="M183" s="103">
        <f t="shared" si="23"/>
        <v>1109.0253807958507</v>
      </c>
      <c r="N183" s="103">
        <f t="shared" si="24"/>
        <v>15237833.818115963</v>
      </c>
    </row>
    <row r="184" spans="1:14" hidden="1" x14ac:dyDescent="0.25">
      <c r="A184">
        <v>153</v>
      </c>
      <c r="B184" s="112">
        <v>50284</v>
      </c>
      <c r="C184" s="111">
        <f t="shared" si="19"/>
        <v>234394.37538396832</v>
      </c>
      <c r="D184" s="111">
        <f t="shared" si="20"/>
        <v>232788.69244068634</v>
      </c>
      <c r="E184" s="111">
        <f t="shared" si="25"/>
        <v>1605.6829432819795</v>
      </c>
      <c r="F184" s="111">
        <f t="shared" si="26"/>
        <v>15203929.508151256</v>
      </c>
      <c r="J184" s="121">
        <v>50284</v>
      </c>
      <c r="K184" s="103">
        <f t="shared" si="21"/>
        <v>255091.40610574093</v>
      </c>
      <c r="L184" s="103">
        <f t="shared" si="22"/>
        <v>253963.89696859848</v>
      </c>
      <c r="M184" s="103">
        <f t="shared" si="23"/>
        <v>1127.5091371424496</v>
      </c>
      <c r="N184" s="103">
        <f t="shared" si="24"/>
        <v>15236706.30897882</v>
      </c>
    </row>
    <row r="185" spans="1:14" hidden="1" x14ac:dyDescent="0.25">
      <c r="A185">
        <v>154</v>
      </c>
      <c r="B185" s="112">
        <v>50314</v>
      </c>
      <c r="C185" s="111">
        <f t="shared" si="19"/>
        <v>234394.37538396832</v>
      </c>
      <c r="D185" s="111">
        <f t="shared" si="20"/>
        <v>232764.11028503423</v>
      </c>
      <c r="E185" s="111">
        <f t="shared" si="25"/>
        <v>1630.2650989340909</v>
      </c>
      <c r="F185" s="111">
        <f t="shared" si="26"/>
        <v>15202299.243052321</v>
      </c>
      <c r="J185" s="121">
        <v>50314</v>
      </c>
      <c r="K185" s="103">
        <f t="shared" si="21"/>
        <v>255091.40610574093</v>
      </c>
      <c r="L185" s="103">
        <f t="shared" si="22"/>
        <v>253945.10514964612</v>
      </c>
      <c r="M185" s="103">
        <f t="shared" si="23"/>
        <v>1146.3009560948121</v>
      </c>
      <c r="N185" s="103">
        <f t="shared" si="24"/>
        <v>15235560.008022726</v>
      </c>
    </row>
    <row r="186" spans="1:14" hidden="1" x14ac:dyDescent="0.25">
      <c r="A186">
        <v>155</v>
      </c>
      <c r="B186" s="112">
        <v>50345</v>
      </c>
      <c r="C186" s="111">
        <f t="shared" si="19"/>
        <v>234394.37538396832</v>
      </c>
      <c r="D186" s="111">
        <f t="shared" si="20"/>
        <v>232739.15178959534</v>
      </c>
      <c r="E186" s="111">
        <f t="shared" si="25"/>
        <v>1655.2235943729756</v>
      </c>
      <c r="F186" s="111">
        <f t="shared" si="26"/>
        <v>15200644.019457947</v>
      </c>
      <c r="J186" s="121">
        <v>50345</v>
      </c>
      <c r="K186" s="103">
        <f t="shared" si="21"/>
        <v>255091.40610574093</v>
      </c>
      <c r="L186" s="103">
        <f t="shared" si="22"/>
        <v>253926.0001337112</v>
      </c>
      <c r="M186" s="103">
        <f t="shared" si="23"/>
        <v>1165.4059720297228</v>
      </c>
      <c r="N186" s="103">
        <f t="shared" si="24"/>
        <v>15234394.602050696</v>
      </c>
    </row>
    <row r="187" spans="1:14" hidden="1" x14ac:dyDescent="0.25">
      <c r="A187">
        <v>156</v>
      </c>
      <c r="B187" s="112">
        <v>50375</v>
      </c>
      <c r="C187" s="111">
        <f t="shared" si="19"/>
        <v>234394.37538396832</v>
      </c>
      <c r="D187" s="111">
        <f t="shared" si="20"/>
        <v>232713.81119280684</v>
      </c>
      <c r="E187" s="111">
        <f t="shared" si="25"/>
        <v>1680.5641911614803</v>
      </c>
      <c r="F187" s="111">
        <f t="shared" si="26"/>
        <v>15198963.455266787</v>
      </c>
      <c r="J187" s="121">
        <v>50375</v>
      </c>
      <c r="K187" s="103">
        <f t="shared" si="21"/>
        <v>255091.40610574093</v>
      </c>
      <c r="L187" s="103">
        <f t="shared" si="22"/>
        <v>253906.57670084402</v>
      </c>
      <c r="M187" s="103">
        <f t="shared" si="23"/>
        <v>1184.829404896911</v>
      </c>
      <c r="N187" s="103">
        <f t="shared" si="24"/>
        <v>15233209.772645799</v>
      </c>
    </row>
    <row r="188" spans="1:14" hidden="1" x14ac:dyDescent="0.25">
      <c r="A188">
        <v>157</v>
      </c>
      <c r="B188" s="112">
        <v>50406</v>
      </c>
      <c r="C188" s="111">
        <f t="shared" si="19"/>
        <v>234394.37538396832</v>
      </c>
      <c r="D188" s="111">
        <f t="shared" si="20"/>
        <v>232688.08264489935</v>
      </c>
      <c r="E188" s="111">
        <f t="shared" si="25"/>
        <v>1706.2927390689729</v>
      </c>
      <c r="F188" s="111">
        <f t="shared" si="26"/>
        <v>15197257.162527718</v>
      </c>
      <c r="J188" s="121">
        <v>50406</v>
      </c>
      <c r="K188" s="103">
        <f t="shared" si="21"/>
        <v>255091.40610574093</v>
      </c>
      <c r="L188" s="103">
        <f t="shared" si="22"/>
        <v>253886.82954409576</v>
      </c>
      <c r="M188" s="103">
        <f t="shared" si="23"/>
        <v>1204.5765616451681</v>
      </c>
      <c r="N188" s="103">
        <f t="shared" si="24"/>
        <v>15232005.196084155</v>
      </c>
    </row>
    <row r="189" spans="1:14" hidden="1" x14ac:dyDescent="0.25">
      <c r="A189">
        <v>158</v>
      </c>
      <c r="B189" s="112">
        <v>50437</v>
      </c>
      <c r="C189" s="111">
        <f t="shared" si="19"/>
        <v>234394.37538396832</v>
      </c>
      <c r="D189" s="111">
        <f t="shared" si="20"/>
        <v>232661.96020654668</v>
      </c>
      <c r="E189" s="111">
        <f t="shared" si="25"/>
        <v>1732.4151774216443</v>
      </c>
      <c r="F189" s="111">
        <f t="shared" si="26"/>
        <v>15195524.747350296</v>
      </c>
      <c r="J189" s="121">
        <v>50437</v>
      </c>
      <c r="K189" s="103">
        <f t="shared" si="21"/>
        <v>255091.40610574093</v>
      </c>
      <c r="L189" s="103">
        <f t="shared" si="22"/>
        <v>253866.75326806834</v>
      </c>
      <c r="M189" s="103">
        <f t="shared" si="23"/>
        <v>1224.652837672591</v>
      </c>
      <c r="N189" s="103">
        <f t="shared" si="24"/>
        <v>15230780.543246482</v>
      </c>
    </row>
    <row r="190" spans="1:14" hidden="1" x14ac:dyDescent="0.25">
      <c r="A190">
        <v>159</v>
      </c>
      <c r="B190" s="112">
        <v>50465</v>
      </c>
      <c r="C190" s="111">
        <f t="shared" si="19"/>
        <v>234394.37538396832</v>
      </c>
      <c r="D190" s="111">
        <f t="shared" si="20"/>
        <v>232635.43784749464</v>
      </c>
      <c r="E190" s="111">
        <f t="shared" si="25"/>
        <v>1758.937536473677</v>
      </c>
      <c r="F190" s="111">
        <f t="shared" si="26"/>
        <v>15193765.809813822</v>
      </c>
      <c r="J190" s="121">
        <v>50465</v>
      </c>
      <c r="K190" s="103">
        <f t="shared" si="21"/>
        <v>255091.40610574093</v>
      </c>
      <c r="L190" s="103">
        <f t="shared" si="22"/>
        <v>253846.34238744047</v>
      </c>
      <c r="M190" s="103">
        <f t="shared" si="23"/>
        <v>1245.0637183004583</v>
      </c>
      <c r="N190" s="103">
        <f t="shared" si="24"/>
        <v>15229535.479528181</v>
      </c>
    </row>
    <row r="191" spans="1:14" hidden="1" x14ac:dyDescent="0.25">
      <c r="A191">
        <v>160</v>
      </c>
      <c r="B191" s="112">
        <v>50496</v>
      </c>
      <c r="C191" s="111">
        <f t="shared" si="19"/>
        <v>234394.37538396832</v>
      </c>
      <c r="D191" s="111">
        <f t="shared" si="20"/>
        <v>232608.50944516913</v>
      </c>
      <c r="E191" s="111">
        <f t="shared" si="25"/>
        <v>1785.8659387991938</v>
      </c>
      <c r="F191" s="111">
        <f t="shared" si="26"/>
        <v>15191979.943875022</v>
      </c>
      <c r="J191" s="121">
        <v>50496</v>
      </c>
      <c r="K191" s="103">
        <f t="shared" si="21"/>
        <v>255091.40610574093</v>
      </c>
      <c r="L191" s="103">
        <f t="shared" si="22"/>
        <v>253825.59132546879</v>
      </c>
      <c r="M191" s="103">
        <f t="shared" si="23"/>
        <v>1265.814780272136</v>
      </c>
      <c r="N191" s="103">
        <f t="shared" si="24"/>
        <v>15228269.664747909</v>
      </c>
    </row>
    <row r="192" spans="1:14" hidden="1" x14ac:dyDescent="0.25">
      <c r="A192">
        <v>161</v>
      </c>
      <c r="B192" s="112">
        <v>50526</v>
      </c>
      <c r="C192" s="111">
        <f t="shared" si="19"/>
        <v>234394.37538396832</v>
      </c>
      <c r="D192" s="111">
        <f t="shared" si="20"/>
        <v>232581.1687832626</v>
      </c>
      <c r="E192" s="111">
        <f t="shared" si="25"/>
        <v>1813.2066007057147</v>
      </c>
      <c r="F192" s="111">
        <f t="shared" si="26"/>
        <v>15190166.737274317</v>
      </c>
      <c r="J192" s="121">
        <v>50526</v>
      </c>
      <c r="K192" s="103">
        <f t="shared" si="21"/>
        <v>255091.40610574093</v>
      </c>
      <c r="L192" s="103">
        <f t="shared" si="22"/>
        <v>253804.49441246424</v>
      </c>
      <c r="M192" s="103">
        <f t="shared" si="23"/>
        <v>1286.9116932766919</v>
      </c>
      <c r="N192" s="103">
        <f t="shared" si="24"/>
        <v>15226982.753054632</v>
      </c>
    </row>
    <row r="193" spans="1:14" hidden="1" x14ac:dyDescent="0.25">
      <c r="A193">
        <v>162</v>
      </c>
      <c r="B193" s="112">
        <v>50557</v>
      </c>
      <c r="C193" s="111">
        <f t="shared" si="19"/>
        <v>234394.37538396832</v>
      </c>
      <c r="D193" s="111">
        <f t="shared" si="20"/>
        <v>232553.40955029917</v>
      </c>
      <c r="E193" s="111">
        <f t="shared" si="25"/>
        <v>1840.96583366915</v>
      </c>
      <c r="F193" s="111">
        <f t="shared" si="26"/>
        <v>15188325.771440648</v>
      </c>
      <c r="J193" s="121">
        <v>50557</v>
      </c>
      <c r="K193" s="103">
        <f t="shared" si="21"/>
        <v>255091.40610574093</v>
      </c>
      <c r="L193" s="103">
        <f t="shared" si="22"/>
        <v>253783.04588424295</v>
      </c>
      <c r="M193" s="103">
        <f t="shared" si="23"/>
        <v>1308.3602214979765</v>
      </c>
      <c r="N193" s="103">
        <f t="shared" si="24"/>
        <v>15225674.392833134</v>
      </c>
    </row>
    <row r="194" spans="1:14" hidden="1" x14ac:dyDescent="0.25">
      <c r="A194">
        <v>163</v>
      </c>
      <c r="B194" s="112">
        <v>50587</v>
      </c>
      <c r="C194" s="111">
        <f t="shared" si="19"/>
        <v>234394.37538396832</v>
      </c>
      <c r="D194" s="111">
        <f t="shared" si="20"/>
        <v>232525.22533817761</v>
      </c>
      <c r="E194" s="111">
        <f t="shared" si="25"/>
        <v>1869.1500457907096</v>
      </c>
      <c r="F194" s="111">
        <f t="shared" si="26"/>
        <v>15186456.621394858</v>
      </c>
      <c r="J194" s="121">
        <v>50587</v>
      </c>
      <c r="K194" s="103">
        <f t="shared" si="21"/>
        <v>255091.40610574093</v>
      </c>
      <c r="L194" s="103">
        <f t="shared" si="22"/>
        <v>253761.23988055132</v>
      </c>
      <c r="M194" s="103">
        <f t="shared" si="23"/>
        <v>1330.166225189605</v>
      </c>
      <c r="N194" s="103">
        <f t="shared" si="24"/>
        <v>15224344.226607945</v>
      </c>
    </row>
    <row r="195" spans="1:14" hidden="1" x14ac:dyDescent="0.25">
      <c r="A195">
        <v>164</v>
      </c>
      <c r="B195" s="112">
        <v>50618</v>
      </c>
      <c r="C195" s="111">
        <f t="shared" si="19"/>
        <v>234394.37538396832</v>
      </c>
      <c r="D195" s="111">
        <f t="shared" si="20"/>
        <v>232496.60964069201</v>
      </c>
      <c r="E195" s="111">
        <f t="shared" si="25"/>
        <v>1897.7657432763081</v>
      </c>
      <c r="F195" s="111">
        <f t="shared" si="26"/>
        <v>15184558.855651582</v>
      </c>
      <c r="J195" s="121">
        <v>50618</v>
      </c>
      <c r="K195" s="103">
        <f t="shared" si="21"/>
        <v>255091.40610574093</v>
      </c>
      <c r="L195" s="103">
        <f t="shared" si="22"/>
        <v>253739.07044346485</v>
      </c>
      <c r="M195" s="103">
        <f t="shared" si="23"/>
        <v>1352.3356622760766</v>
      </c>
      <c r="N195" s="103">
        <f t="shared" si="24"/>
        <v>15222991.890945669</v>
      </c>
    </row>
    <row r="196" spans="1:14" hidden="1" x14ac:dyDescent="0.25">
      <c r="A196">
        <v>165</v>
      </c>
      <c r="B196" s="112">
        <v>50649</v>
      </c>
      <c r="C196" s="111">
        <f t="shared" si="19"/>
        <v>234394.37538396832</v>
      </c>
      <c r="D196" s="111">
        <f t="shared" si="20"/>
        <v>232467.55585202994</v>
      </c>
      <c r="E196" s="111">
        <f t="shared" si="25"/>
        <v>1926.8195319383813</v>
      </c>
      <c r="F196" s="111">
        <f t="shared" si="26"/>
        <v>15182632.036119644</v>
      </c>
      <c r="J196" s="121">
        <v>50649</v>
      </c>
      <c r="K196" s="103">
        <f t="shared" si="21"/>
        <v>255091.40610574093</v>
      </c>
      <c r="L196" s="103">
        <f t="shared" si="22"/>
        <v>253716.53151576026</v>
      </c>
      <c r="M196" s="103">
        <f t="shared" si="23"/>
        <v>1374.8745899806672</v>
      </c>
      <c r="N196" s="103">
        <f t="shared" si="24"/>
        <v>15221617.016355688</v>
      </c>
    </row>
    <row r="197" spans="1:14" hidden="1" x14ac:dyDescent="0.25">
      <c r="A197">
        <v>166</v>
      </c>
      <c r="B197" s="112">
        <v>50679</v>
      </c>
      <c r="C197" s="111">
        <f t="shared" si="19"/>
        <v>234394.37538396832</v>
      </c>
      <c r="D197" s="111">
        <f t="shared" si="20"/>
        <v>232438.05726524742</v>
      </c>
      <c r="E197" s="111">
        <f t="shared" si="25"/>
        <v>1956.3181187208975</v>
      </c>
      <c r="F197" s="111">
        <f t="shared" si="26"/>
        <v>15180675.718000922</v>
      </c>
      <c r="J197" s="121">
        <v>50679</v>
      </c>
      <c r="K197" s="103">
        <f t="shared" si="21"/>
        <v>255091.40610574093</v>
      </c>
      <c r="L197" s="103">
        <f t="shared" si="22"/>
        <v>253693.61693926057</v>
      </c>
      <c r="M197" s="103">
        <f t="shared" si="23"/>
        <v>1397.789166480361</v>
      </c>
      <c r="N197" s="103">
        <f t="shared" si="24"/>
        <v>15220219.227189207</v>
      </c>
    </row>
    <row r="198" spans="1:14" hidden="1" x14ac:dyDescent="0.25">
      <c r="A198">
        <v>167</v>
      </c>
      <c r="B198" s="112">
        <v>50710</v>
      </c>
      <c r="C198" s="111">
        <f t="shared" si="19"/>
        <v>234394.37538396832</v>
      </c>
      <c r="D198" s="111">
        <f t="shared" si="20"/>
        <v>232408.10707072075</v>
      </c>
      <c r="E198" s="111">
        <f t="shared" si="25"/>
        <v>1986.2683132475649</v>
      </c>
      <c r="F198" s="111">
        <f t="shared" si="26"/>
        <v>15178689.449687675</v>
      </c>
      <c r="J198" s="121">
        <v>50710</v>
      </c>
      <c r="K198" s="103">
        <f t="shared" si="21"/>
        <v>255091.40610574093</v>
      </c>
      <c r="L198" s="103">
        <f t="shared" si="22"/>
        <v>253670.32045315256</v>
      </c>
      <c r="M198" s="103">
        <f t="shared" si="23"/>
        <v>1421.0856525883719</v>
      </c>
      <c r="N198" s="103">
        <f t="shared" si="24"/>
        <v>15218798.14153662</v>
      </c>
    </row>
    <row r="199" spans="1:14" hidden="1" x14ac:dyDescent="0.25">
      <c r="A199">
        <v>168</v>
      </c>
      <c r="B199" s="112">
        <v>50740</v>
      </c>
      <c r="C199" s="111">
        <f t="shared" si="19"/>
        <v>234394.37538396832</v>
      </c>
      <c r="D199" s="111">
        <f t="shared" si="20"/>
        <v>232377.69835457453</v>
      </c>
      <c r="E199" s="111">
        <f t="shared" si="25"/>
        <v>2016.677029393788</v>
      </c>
      <c r="F199" s="111">
        <f t="shared" si="26"/>
        <v>15176672.772658281</v>
      </c>
      <c r="J199" s="121">
        <v>50740</v>
      </c>
      <c r="K199" s="103">
        <f t="shared" si="21"/>
        <v>255091.40610574093</v>
      </c>
      <c r="L199" s="103">
        <f t="shared" si="22"/>
        <v>253646.63569227609</v>
      </c>
      <c r="M199" s="103">
        <f t="shared" si="23"/>
        <v>1444.7704134648375</v>
      </c>
      <c r="N199" s="103">
        <f t="shared" si="24"/>
        <v>15217353.371123156</v>
      </c>
    </row>
    <row r="200" spans="1:14" hidden="1" x14ac:dyDescent="0.25">
      <c r="A200">
        <v>169</v>
      </c>
      <c r="B200" s="112">
        <v>50771</v>
      </c>
      <c r="C200" s="111">
        <f t="shared" si="19"/>
        <v>234394.37538396832</v>
      </c>
      <c r="D200" s="111">
        <f t="shared" si="20"/>
        <v>232346.82409708557</v>
      </c>
      <c r="E200" s="111">
        <f t="shared" si="25"/>
        <v>2047.55128688275</v>
      </c>
      <c r="F200" s="111">
        <f t="shared" si="26"/>
        <v>15174625.221371397</v>
      </c>
      <c r="J200" s="121">
        <v>50771</v>
      </c>
      <c r="K200" s="103">
        <f t="shared" si="21"/>
        <v>255091.40610574093</v>
      </c>
      <c r="L200" s="103">
        <f t="shared" si="22"/>
        <v>253622.55618538504</v>
      </c>
      <c r="M200" s="103">
        <f t="shared" si="23"/>
        <v>1468.8499203558895</v>
      </c>
      <c r="N200" s="103">
        <f t="shared" si="24"/>
        <v>15215884.521202799</v>
      </c>
    </row>
    <row r="201" spans="1:14" hidden="1" x14ac:dyDescent="0.25">
      <c r="A201">
        <v>170</v>
      </c>
      <c r="B201" s="112">
        <v>50802</v>
      </c>
      <c r="C201" s="111">
        <f t="shared" si="19"/>
        <v>234394.37538396832</v>
      </c>
      <c r="D201" s="111">
        <f t="shared" si="20"/>
        <v>232315.47717106232</v>
      </c>
      <c r="E201" s="111">
        <f t="shared" si="25"/>
        <v>2078.8982129060023</v>
      </c>
      <c r="F201" s="111">
        <f t="shared" si="26"/>
        <v>15172546.323158491</v>
      </c>
      <c r="J201" s="121">
        <v>50802</v>
      </c>
      <c r="K201" s="103">
        <f t="shared" si="21"/>
        <v>255091.40610574093</v>
      </c>
      <c r="L201" s="103">
        <f t="shared" si="22"/>
        <v>253598.07535337907</v>
      </c>
      <c r="M201" s="103">
        <f t="shared" si="23"/>
        <v>1493.3307523618569</v>
      </c>
      <c r="N201" s="103">
        <f t="shared" si="24"/>
        <v>15214391.190450437</v>
      </c>
    </row>
    <row r="202" spans="1:14" hidden="1" x14ac:dyDescent="0.25">
      <c r="A202">
        <v>171</v>
      </c>
      <c r="B202" s="112">
        <v>50830</v>
      </c>
      <c r="C202" s="111">
        <f t="shared" si="19"/>
        <v>234394.37538396832</v>
      </c>
      <c r="D202" s="111">
        <f t="shared" si="20"/>
        <v>232283.65034019991</v>
      </c>
      <c r="E202" s="111">
        <f t="shared" si="25"/>
        <v>2110.7250437684124</v>
      </c>
      <c r="F202" s="111">
        <f t="shared" si="26"/>
        <v>15170435.598114723</v>
      </c>
      <c r="J202" s="121">
        <v>50830</v>
      </c>
      <c r="K202" s="103">
        <f t="shared" si="21"/>
        <v>255091.40610574093</v>
      </c>
      <c r="L202" s="103">
        <f t="shared" si="22"/>
        <v>253573.18650750638</v>
      </c>
      <c r="M202" s="103">
        <f t="shared" si="23"/>
        <v>1518.2195982345438</v>
      </c>
      <c r="N202" s="103">
        <f t="shared" si="24"/>
        <v>15212872.970852204</v>
      </c>
    </row>
    <row r="203" spans="1:14" hidden="1" x14ac:dyDescent="0.25">
      <c r="A203">
        <v>172</v>
      </c>
      <c r="B203" s="112">
        <v>50861</v>
      </c>
      <c r="C203" s="111">
        <f t="shared" si="19"/>
        <v>234394.37538396832</v>
      </c>
      <c r="D203" s="111">
        <f t="shared" si="20"/>
        <v>232251.33625740928</v>
      </c>
      <c r="E203" s="111">
        <f t="shared" si="25"/>
        <v>2143.0391265590442</v>
      </c>
      <c r="F203" s="111">
        <f t="shared" si="26"/>
        <v>15168292.558988165</v>
      </c>
      <c r="J203" s="121">
        <v>50861</v>
      </c>
      <c r="K203" s="103">
        <f t="shared" si="21"/>
        <v>255091.40610574093</v>
      </c>
      <c r="L203" s="103">
        <f t="shared" si="22"/>
        <v>253547.88284753583</v>
      </c>
      <c r="M203" s="103">
        <f t="shared" si="23"/>
        <v>1543.5232582050958</v>
      </c>
      <c r="N203" s="103">
        <f t="shared" si="24"/>
        <v>15211329.447593998</v>
      </c>
    </row>
    <row r="204" spans="1:14" hidden="1" x14ac:dyDescent="0.25">
      <c r="A204">
        <v>173</v>
      </c>
      <c r="B204" s="112">
        <v>50891</v>
      </c>
      <c r="C204" s="111">
        <f t="shared" si="19"/>
        <v>234394.37538396832</v>
      </c>
      <c r="D204" s="111">
        <f t="shared" si="20"/>
        <v>232218.52746312149</v>
      </c>
      <c r="E204" s="111">
        <f t="shared" si="25"/>
        <v>2175.8479208468343</v>
      </c>
      <c r="F204" s="111">
        <f t="shared" si="26"/>
        <v>15166116.711067319</v>
      </c>
      <c r="J204" s="121">
        <v>50891</v>
      </c>
      <c r="K204" s="103">
        <f t="shared" si="21"/>
        <v>255091.40610574093</v>
      </c>
      <c r="L204" s="103">
        <f t="shared" si="22"/>
        <v>253522.15745989906</v>
      </c>
      <c r="M204" s="103">
        <f t="shared" si="23"/>
        <v>1569.2486458418716</v>
      </c>
      <c r="N204" s="103">
        <f t="shared" si="24"/>
        <v>15209760.198948156</v>
      </c>
    </row>
    <row r="205" spans="1:14" hidden="1" x14ac:dyDescent="0.25">
      <c r="A205">
        <v>174</v>
      </c>
      <c r="B205" s="112">
        <v>50922</v>
      </c>
      <c r="C205" s="111">
        <f t="shared" si="19"/>
        <v>234394.37538396832</v>
      </c>
      <c r="D205" s="111">
        <f t="shared" si="20"/>
        <v>232185.21638356539</v>
      </c>
      <c r="E205" s="111">
        <f t="shared" si="25"/>
        <v>2209.1590004029276</v>
      </c>
      <c r="F205" s="111">
        <f t="shared" si="26"/>
        <v>15163907.552066917</v>
      </c>
      <c r="J205" s="121">
        <v>50922</v>
      </c>
      <c r="K205" s="103">
        <f t="shared" si="21"/>
        <v>255091.40610574093</v>
      </c>
      <c r="L205" s="103">
        <f t="shared" si="22"/>
        <v>253496.0033158017</v>
      </c>
      <c r="M205" s="103">
        <f t="shared" si="23"/>
        <v>1595.402789939224</v>
      </c>
      <c r="N205" s="103">
        <f t="shared" si="24"/>
        <v>15208164.796158217</v>
      </c>
    </row>
    <row r="206" spans="1:14" hidden="1" x14ac:dyDescent="0.25">
      <c r="A206">
        <v>175</v>
      </c>
      <c r="B206" s="112">
        <v>50952</v>
      </c>
      <c r="C206" s="111">
        <f t="shared" si="19"/>
        <v>234394.37538396832</v>
      </c>
      <c r="D206" s="111">
        <f t="shared" si="20"/>
        <v>232151.39532901949</v>
      </c>
      <c r="E206" s="111">
        <f t="shared" si="25"/>
        <v>2242.9800549488282</v>
      </c>
      <c r="F206" s="111">
        <f t="shared" si="26"/>
        <v>15161664.572011968</v>
      </c>
      <c r="J206" s="121">
        <v>50952</v>
      </c>
      <c r="K206" s="103">
        <f t="shared" si="21"/>
        <v>255091.40610574093</v>
      </c>
      <c r="L206" s="103">
        <f t="shared" si="22"/>
        <v>253469.41326930272</v>
      </c>
      <c r="M206" s="103">
        <f t="shared" si="23"/>
        <v>1621.9928364382067</v>
      </c>
      <c r="N206" s="103">
        <f t="shared" si="24"/>
        <v>15206542.803321779</v>
      </c>
    </row>
    <row r="207" spans="1:14" hidden="1" x14ac:dyDescent="0.25">
      <c r="A207">
        <v>176</v>
      </c>
      <c r="B207" s="112">
        <v>50983</v>
      </c>
      <c r="C207" s="111">
        <f t="shared" si="19"/>
        <v>234394.37538396832</v>
      </c>
      <c r="D207" s="111">
        <f t="shared" si="20"/>
        <v>232117.05649203679</v>
      </c>
      <c r="E207" s="111">
        <f t="shared" si="25"/>
        <v>2277.3188919315289</v>
      </c>
      <c r="F207" s="111">
        <f t="shared" si="26"/>
        <v>15159387.253120037</v>
      </c>
      <c r="J207" s="121">
        <v>50983</v>
      </c>
      <c r="K207" s="103">
        <f t="shared" si="21"/>
        <v>255091.40610574093</v>
      </c>
      <c r="L207" s="103">
        <f t="shared" si="22"/>
        <v>253442.38005536207</v>
      </c>
      <c r="M207" s="103">
        <f t="shared" si="23"/>
        <v>1649.0260503788595</v>
      </c>
      <c r="N207" s="103">
        <f t="shared" si="24"/>
        <v>15204893.777271399</v>
      </c>
    </row>
    <row r="208" spans="1:14" hidden="1" x14ac:dyDescent="0.25">
      <c r="A208">
        <v>177</v>
      </c>
      <c r="B208" s="112">
        <v>51014</v>
      </c>
      <c r="C208" s="111">
        <f t="shared" si="19"/>
        <v>234394.37538396832</v>
      </c>
      <c r="D208" s="111">
        <f t="shared" si="20"/>
        <v>232082.19194564229</v>
      </c>
      <c r="E208" s="111">
        <f t="shared" si="25"/>
        <v>2312.1834383260284</v>
      </c>
      <c r="F208" s="111">
        <f t="shared" si="26"/>
        <v>15157075.069681711</v>
      </c>
      <c r="J208" s="121">
        <v>51014</v>
      </c>
      <c r="K208" s="103">
        <f t="shared" si="21"/>
        <v>255091.40610574093</v>
      </c>
      <c r="L208" s="103">
        <f t="shared" si="22"/>
        <v>253414.89628785575</v>
      </c>
      <c r="M208" s="103">
        <f t="shared" si="23"/>
        <v>1676.5098178851767</v>
      </c>
      <c r="N208" s="103">
        <f t="shared" si="24"/>
        <v>15203217.267453514</v>
      </c>
    </row>
    <row r="209" spans="1:14" hidden="1" x14ac:dyDescent="0.25">
      <c r="A209">
        <v>178</v>
      </c>
      <c r="B209" s="112">
        <v>51044</v>
      </c>
      <c r="C209" s="111">
        <f t="shared" si="19"/>
        <v>234394.37538396832</v>
      </c>
      <c r="D209" s="111">
        <f t="shared" si="20"/>
        <v>232046.79364150326</v>
      </c>
      <c r="E209" s="111">
        <f t="shared" si="25"/>
        <v>2347.5817424650595</v>
      </c>
      <c r="F209" s="111">
        <f t="shared" si="26"/>
        <v>15154727.487939246</v>
      </c>
      <c r="J209" s="121">
        <v>51044</v>
      </c>
      <c r="K209" s="103">
        <f t="shared" si="21"/>
        <v>255091.40610574093</v>
      </c>
      <c r="L209" s="103">
        <f t="shared" si="22"/>
        <v>253386.95445755767</v>
      </c>
      <c r="M209" s="103">
        <f t="shared" si="23"/>
        <v>1704.4516481832543</v>
      </c>
      <c r="N209" s="103">
        <f t="shared" si="24"/>
        <v>15201512.815805331</v>
      </c>
    </row>
    <row r="210" spans="1:14" hidden="1" x14ac:dyDescent="0.25">
      <c r="A210">
        <v>179</v>
      </c>
      <c r="B210" s="112">
        <v>51075</v>
      </c>
      <c r="C210" s="111">
        <f t="shared" si="19"/>
        <v>234394.37538396832</v>
      </c>
      <c r="D210" s="111">
        <f t="shared" si="20"/>
        <v>232010.8534080713</v>
      </c>
      <c r="E210" s="111">
        <f t="shared" si="25"/>
        <v>2383.5219758970197</v>
      </c>
      <c r="F210" s="111">
        <f t="shared" si="26"/>
        <v>15152343.965963349</v>
      </c>
      <c r="J210" s="121">
        <v>51075</v>
      </c>
      <c r="K210" s="103">
        <f t="shared" si="21"/>
        <v>255091.40610574093</v>
      </c>
      <c r="L210" s="103">
        <f t="shared" si="22"/>
        <v>253358.54693008793</v>
      </c>
      <c r="M210" s="103">
        <f t="shared" si="23"/>
        <v>1732.8591756529931</v>
      </c>
      <c r="N210" s="103">
        <f t="shared" si="24"/>
        <v>15199779.956629679</v>
      </c>
    </row>
    <row r="211" spans="1:14" hidden="1" x14ac:dyDescent="0.25">
      <c r="A211">
        <v>180</v>
      </c>
      <c r="B211" s="112">
        <v>51105</v>
      </c>
      <c r="C211" s="111">
        <f t="shared" si="19"/>
        <v>234394.37538396832</v>
      </c>
      <c r="D211" s="111">
        <f t="shared" si="20"/>
        <v>231974.36294869584</v>
      </c>
      <c r="E211" s="111">
        <f t="shared" si="25"/>
        <v>2420.0124352724815</v>
      </c>
      <c r="F211" s="111">
        <f t="shared" si="26"/>
        <v>15149923.953528076</v>
      </c>
      <c r="J211" s="121">
        <v>51105</v>
      </c>
      <c r="K211" s="103">
        <f t="shared" si="21"/>
        <v>255091.40610574093</v>
      </c>
      <c r="L211" s="103">
        <f t="shared" si="22"/>
        <v>253329.66594382707</v>
      </c>
      <c r="M211" s="103">
        <f t="shared" si="23"/>
        <v>1761.7401619138545</v>
      </c>
      <c r="N211" s="103">
        <f t="shared" si="24"/>
        <v>15198018.216467764</v>
      </c>
    </row>
    <row r="212" spans="1:14" hidden="1" x14ac:dyDescent="0.25">
      <c r="A212">
        <v>181</v>
      </c>
      <c r="B212" s="112">
        <v>51136</v>
      </c>
      <c r="C212" s="111">
        <f t="shared" si="19"/>
        <v>234394.37538396832</v>
      </c>
      <c r="D212" s="111">
        <f t="shared" si="20"/>
        <v>231937.31383970904</v>
      </c>
      <c r="E212" s="111">
        <f t="shared" si="25"/>
        <v>2457.0615442592825</v>
      </c>
      <c r="F212" s="111">
        <f t="shared" si="26"/>
        <v>15147466.891983816</v>
      </c>
      <c r="J212" s="121">
        <v>51136</v>
      </c>
      <c r="K212" s="103">
        <f t="shared" si="21"/>
        <v>255091.40610574093</v>
      </c>
      <c r="L212" s="103">
        <f t="shared" si="22"/>
        <v>253300.30360779518</v>
      </c>
      <c r="M212" s="103">
        <f t="shared" si="23"/>
        <v>1791.1024979457434</v>
      </c>
      <c r="N212" s="103">
        <f t="shared" si="24"/>
        <v>15196227.113969818</v>
      </c>
    </row>
    <row r="213" spans="1:14" hidden="1" x14ac:dyDescent="0.25">
      <c r="A213">
        <v>182</v>
      </c>
      <c r="B213" s="112">
        <v>51167</v>
      </c>
      <c r="C213" s="111">
        <f t="shared" si="19"/>
        <v>234394.37538396832</v>
      </c>
      <c r="D213" s="111">
        <f t="shared" si="20"/>
        <v>231899.69752848116</v>
      </c>
      <c r="E213" s="111">
        <f t="shared" si="25"/>
        <v>2494.6778554871562</v>
      </c>
      <c r="F213" s="111">
        <f t="shared" si="26"/>
        <v>15144972.214128328</v>
      </c>
      <c r="J213" s="121">
        <v>51167</v>
      </c>
      <c r="K213" s="103">
        <f t="shared" si="21"/>
        <v>255091.40610574093</v>
      </c>
      <c r="L213" s="103">
        <f t="shared" si="22"/>
        <v>253270.45189949605</v>
      </c>
      <c r="M213" s="103">
        <f t="shared" si="23"/>
        <v>1820.9542062448745</v>
      </c>
      <c r="N213" s="103">
        <f t="shared" si="24"/>
        <v>15194406.159763573</v>
      </c>
    </row>
    <row r="214" spans="1:14" hidden="1" x14ac:dyDescent="0.25">
      <c r="A214">
        <v>183</v>
      </c>
      <c r="B214" s="112">
        <v>51196</v>
      </c>
      <c r="C214" s="111">
        <f t="shared" si="19"/>
        <v>234394.37538396832</v>
      </c>
      <c r="D214" s="111">
        <f t="shared" si="20"/>
        <v>231861.50533144624</v>
      </c>
      <c r="E214" s="111">
        <f t="shared" si="25"/>
        <v>2532.8700525220775</v>
      </c>
      <c r="F214" s="111">
        <f t="shared" si="26"/>
        <v>15142439.344075806</v>
      </c>
      <c r="J214" s="121">
        <v>51196</v>
      </c>
      <c r="K214" s="103">
        <f t="shared" si="21"/>
        <v>255091.40610574093</v>
      </c>
      <c r="L214" s="103">
        <f t="shared" si="22"/>
        <v>253240.10266272532</v>
      </c>
      <c r="M214" s="103">
        <f t="shared" si="23"/>
        <v>1851.3034430156113</v>
      </c>
      <c r="N214" s="103">
        <f t="shared" si="24"/>
        <v>15192554.856320556</v>
      </c>
    </row>
    <row r="215" spans="1:14" hidden="1" x14ac:dyDescent="0.25">
      <c r="A215">
        <v>184</v>
      </c>
      <c r="B215" s="112">
        <v>51227</v>
      </c>
      <c r="C215" s="111">
        <f t="shared" si="19"/>
        <v>234394.37538396832</v>
      </c>
      <c r="D215" s="111">
        <f t="shared" si="20"/>
        <v>231822.7284320975</v>
      </c>
      <c r="E215" s="111">
        <f t="shared" si="25"/>
        <v>2571.6469518708182</v>
      </c>
      <c r="F215" s="111">
        <f t="shared" si="26"/>
        <v>15139867.697123935</v>
      </c>
      <c r="J215" s="121">
        <v>51227</v>
      </c>
      <c r="K215" s="103">
        <f t="shared" si="21"/>
        <v>255091.40610574093</v>
      </c>
      <c r="L215" s="103">
        <f t="shared" si="22"/>
        <v>253209.24760534169</v>
      </c>
      <c r="M215" s="103">
        <f t="shared" si="23"/>
        <v>1882.1585003992368</v>
      </c>
      <c r="N215" s="103">
        <f t="shared" si="24"/>
        <v>15190672.697820157</v>
      </c>
    </row>
    <row r="216" spans="1:14" hidden="1" x14ac:dyDescent="0.25">
      <c r="A216">
        <v>185</v>
      </c>
      <c r="B216" s="112">
        <v>51257</v>
      </c>
      <c r="C216" s="111">
        <f t="shared" si="19"/>
        <v>234394.37538396832</v>
      </c>
      <c r="D216" s="111">
        <f t="shared" si="20"/>
        <v>231783.35787895211</v>
      </c>
      <c r="E216" s="111">
        <f t="shared" si="25"/>
        <v>2611.017505016207</v>
      </c>
      <c r="F216" s="111">
        <f t="shared" si="26"/>
        <v>15137256.679618919</v>
      </c>
      <c r="J216" s="121">
        <v>51257</v>
      </c>
      <c r="K216" s="103">
        <f t="shared" si="21"/>
        <v>255091.40610574093</v>
      </c>
      <c r="L216" s="103">
        <f t="shared" si="22"/>
        <v>253177.87829700171</v>
      </c>
      <c r="M216" s="103">
        <f t="shared" si="23"/>
        <v>1913.5278087392217</v>
      </c>
      <c r="N216" s="103">
        <f t="shared" si="24"/>
        <v>15188759.170011418</v>
      </c>
    </row>
    <row r="217" spans="1:14" hidden="1" x14ac:dyDescent="0.25">
      <c r="A217">
        <v>186</v>
      </c>
      <c r="B217" s="112">
        <v>51288</v>
      </c>
      <c r="C217" s="111">
        <f t="shared" si="19"/>
        <v>234394.37538396832</v>
      </c>
      <c r="D217" s="111">
        <f t="shared" si="20"/>
        <v>231743.38458348479</v>
      </c>
      <c r="E217" s="111">
        <f t="shared" si="25"/>
        <v>2650.9908004835306</v>
      </c>
      <c r="F217" s="111">
        <f t="shared" si="26"/>
        <v>15134605.688818436</v>
      </c>
      <c r="J217" s="121">
        <v>51288</v>
      </c>
      <c r="K217" s="103">
        <f t="shared" si="21"/>
        <v>255091.40610574093</v>
      </c>
      <c r="L217" s="103">
        <f t="shared" si="22"/>
        <v>253145.98616685608</v>
      </c>
      <c r="M217" s="103">
        <f t="shared" si="23"/>
        <v>1945.4199388848501</v>
      </c>
      <c r="N217" s="103">
        <f t="shared" si="24"/>
        <v>15186813.750072533</v>
      </c>
    </row>
    <row r="218" spans="1:14" hidden="1" x14ac:dyDescent="0.25">
      <c r="A218">
        <v>187</v>
      </c>
      <c r="B218" s="112">
        <v>51318</v>
      </c>
      <c r="C218" s="111">
        <f t="shared" si="19"/>
        <v>234394.37538396832</v>
      </c>
      <c r="D218" s="111">
        <f t="shared" si="20"/>
        <v>231702.79931802972</v>
      </c>
      <c r="E218" s="111">
        <f t="shared" si="25"/>
        <v>2691.5760659385996</v>
      </c>
      <c r="F218" s="111">
        <f t="shared" si="26"/>
        <v>15131914.112752497</v>
      </c>
      <c r="J218" s="121">
        <v>51318</v>
      </c>
      <c r="K218" s="103">
        <f t="shared" si="21"/>
        <v>255091.40610574093</v>
      </c>
      <c r="L218" s="103">
        <f t="shared" si="22"/>
        <v>253113.56250120798</v>
      </c>
      <c r="M218" s="103">
        <f t="shared" si="23"/>
        <v>1977.8436045329436</v>
      </c>
      <c r="N218" s="103">
        <f t="shared" si="24"/>
        <v>15184835.906468</v>
      </c>
    </row>
    <row r="219" spans="1:14" hidden="1" x14ac:dyDescent="0.25">
      <c r="A219">
        <v>188</v>
      </c>
      <c r="B219" s="112">
        <v>51349</v>
      </c>
      <c r="C219" s="111">
        <f t="shared" si="19"/>
        <v>234394.37538396832</v>
      </c>
      <c r="D219" s="111">
        <f t="shared" si="20"/>
        <v>231661.59271365046</v>
      </c>
      <c r="E219" s="111">
        <f t="shared" si="25"/>
        <v>2732.782670317858</v>
      </c>
      <c r="F219" s="111">
        <f t="shared" si="26"/>
        <v>15129181.33008218</v>
      </c>
      <c r="J219" s="121">
        <v>51349</v>
      </c>
      <c r="K219" s="103">
        <f t="shared" si="21"/>
        <v>255091.40610574093</v>
      </c>
      <c r="L219" s="103">
        <f t="shared" si="22"/>
        <v>253080.59844113243</v>
      </c>
      <c r="M219" s="103">
        <f t="shared" si="23"/>
        <v>2010.8076646084955</v>
      </c>
      <c r="N219" s="103">
        <f t="shared" si="24"/>
        <v>15182825.098803392</v>
      </c>
    </row>
    <row r="220" spans="1:14" hidden="1" x14ac:dyDescent="0.25">
      <c r="A220">
        <v>189</v>
      </c>
      <c r="B220" s="112">
        <v>51380</v>
      </c>
      <c r="C220" s="111">
        <f t="shared" si="19"/>
        <v>234394.37538396832</v>
      </c>
      <c r="D220" s="111">
        <f t="shared" si="20"/>
        <v>231619.75525797706</v>
      </c>
      <c r="E220" s="111">
        <f t="shared" si="25"/>
        <v>2774.6201259912632</v>
      </c>
      <c r="F220" s="111">
        <f t="shared" si="26"/>
        <v>15126406.70995619</v>
      </c>
      <c r="J220" s="121">
        <v>51380</v>
      </c>
      <c r="K220" s="103">
        <f t="shared" si="21"/>
        <v>255091.40610574093</v>
      </c>
      <c r="L220" s="103">
        <f t="shared" si="22"/>
        <v>253047.08498005563</v>
      </c>
      <c r="M220" s="103">
        <f t="shared" si="23"/>
        <v>2044.3211256852956</v>
      </c>
      <c r="N220" s="103">
        <f t="shared" si="24"/>
        <v>15180780.777677706</v>
      </c>
    </row>
    <row r="221" spans="1:14" hidden="1" x14ac:dyDescent="0.25">
      <c r="A221">
        <v>190</v>
      </c>
      <c r="B221" s="112">
        <v>51410</v>
      </c>
      <c r="C221" s="111">
        <f t="shared" si="19"/>
        <v>234394.37538396832</v>
      </c>
      <c r="D221" s="111">
        <f t="shared" si="20"/>
        <v>231577.27729301024</v>
      </c>
      <c r="E221" s="111">
        <f t="shared" si="25"/>
        <v>2817.098090958083</v>
      </c>
      <c r="F221" s="111">
        <f t="shared" si="26"/>
        <v>15123589.611865232</v>
      </c>
      <c r="J221" s="121">
        <v>51410</v>
      </c>
      <c r="K221" s="103">
        <f t="shared" si="21"/>
        <v>255091.40610574093</v>
      </c>
      <c r="L221" s="103">
        <f t="shared" si="22"/>
        <v>253013.01296129418</v>
      </c>
      <c r="M221" s="103">
        <f t="shared" si="23"/>
        <v>2078.3931444467453</v>
      </c>
      <c r="N221" s="103">
        <f t="shared" si="24"/>
        <v>15178702.384533258</v>
      </c>
    </row>
    <row r="222" spans="1:14" hidden="1" x14ac:dyDescent="0.25">
      <c r="A222">
        <v>191</v>
      </c>
      <c r="B222" s="112">
        <v>51441</v>
      </c>
      <c r="C222" s="111">
        <f t="shared" si="19"/>
        <v>234394.37538396832</v>
      </c>
      <c r="D222" s="111">
        <f t="shared" si="20"/>
        <v>231534.1490128919</v>
      </c>
      <c r="E222" s="111">
        <f t="shared" si="25"/>
        <v>2860.2263710764237</v>
      </c>
      <c r="F222" s="111">
        <f t="shared" si="26"/>
        <v>15120729.385494156</v>
      </c>
      <c r="J222" s="121">
        <v>51441</v>
      </c>
      <c r="K222" s="103">
        <f t="shared" si="21"/>
        <v>255091.40610574093</v>
      </c>
      <c r="L222" s="103">
        <f t="shared" si="22"/>
        <v>252978.37307555339</v>
      </c>
      <c r="M222" s="103">
        <f t="shared" si="23"/>
        <v>2113.0330301875365</v>
      </c>
      <c r="N222" s="103">
        <f t="shared" si="24"/>
        <v>15176589.35150307</v>
      </c>
    </row>
    <row r="223" spans="1:14" hidden="1" x14ac:dyDescent="0.25">
      <c r="A223">
        <v>192</v>
      </c>
      <c r="B223" s="112">
        <v>51471</v>
      </c>
      <c r="C223" s="111">
        <f t="shared" si="19"/>
        <v>234394.37538396832</v>
      </c>
      <c r="D223" s="111">
        <f t="shared" si="20"/>
        <v>231490.36046164134</v>
      </c>
      <c r="E223" s="111">
        <f t="shared" si="25"/>
        <v>2904.0149223269837</v>
      </c>
      <c r="F223" s="111">
        <f t="shared" si="26"/>
        <v>15117825.370571829</v>
      </c>
      <c r="J223" s="121">
        <v>51471</v>
      </c>
      <c r="K223" s="103">
        <f t="shared" si="21"/>
        <v>255091.40610574093</v>
      </c>
      <c r="L223" s="103">
        <f t="shared" si="22"/>
        <v>252943.1558583836</v>
      </c>
      <c r="M223" s="103">
        <f t="shared" si="23"/>
        <v>2148.2502473573259</v>
      </c>
      <c r="N223" s="103">
        <f t="shared" si="24"/>
        <v>15174441.101255713</v>
      </c>
    </row>
    <row r="224" spans="1:14" hidden="1" x14ac:dyDescent="0.25">
      <c r="A224">
        <v>193</v>
      </c>
      <c r="B224" s="112">
        <v>51502</v>
      </c>
      <c r="C224" s="111">
        <f t="shared" ref="C224:C287" si="27">x</f>
        <v>234394.37538396832</v>
      </c>
      <c r="D224" s="111">
        <f t="shared" ref="D224:D287" si="28">F223*((1+ANNUAL_INTEREST_RATE)^(1/12)-1)</f>
        <v>231445.9015308572</v>
      </c>
      <c r="E224" s="111">
        <f t="shared" si="25"/>
        <v>2948.4738531111216</v>
      </c>
      <c r="F224" s="111">
        <f t="shared" si="26"/>
        <v>15114876.896718718</v>
      </c>
      <c r="J224" s="121">
        <v>51502</v>
      </c>
      <c r="K224" s="103">
        <f t="shared" si="21"/>
        <v>255091.40610574093</v>
      </c>
      <c r="L224" s="103">
        <f t="shared" si="22"/>
        <v>252907.35168759432</v>
      </c>
      <c r="M224" s="103">
        <f t="shared" si="23"/>
        <v>2184.0544181466103</v>
      </c>
      <c r="N224" s="103">
        <f t="shared" si="24"/>
        <v>15172257.046837566</v>
      </c>
    </row>
    <row r="225" spans="1:14" hidden="1" x14ac:dyDescent="0.25">
      <c r="A225">
        <v>194</v>
      </c>
      <c r="B225" s="112">
        <v>51533</v>
      </c>
      <c r="C225" s="111">
        <f t="shared" si="27"/>
        <v>234394.37538396832</v>
      </c>
      <c r="D225" s="111">
        <f t="shared" si="28"/>
        <v>231400.76195738377</v>
      </c>
      <c r="E225" s="111">
        <f t="shared" si="25"/>
        <v>2993.6134265845467</v>
      </c>
      <c r="F225" s="111">
        <f t="shared" si="26"/>
        <v>15111883.283292133</v>
      </c>
      <c r="J225" s="121">
        <v>51533</v>
      </c>
      <c r="K225" s="103">
        <f t="shared" ref="K225:K288" si="29">$L$23</f>
        <v>255091.40610574093</v>
      </c>
      <c r="L225" s="103">
        <f t="shared" ref="L225:L288" si="30">N224*((1+$L$5)^(1/12)-1)</f>
        <v>252870.95078062522</v>
      </c>
      <c r="M225" s="103">
        <f t="shared" ref="M225:M288" si="31">K225-L225</f>
        <v>2220.4553251157049</v>
      </c>
      <c r="N225" s="103">
        <f t="shared" ref="N225:N288" si="32">N224-M225</f>
        <v>15170036.591512451</v>
      </c>
    </row>
    <row r="226" spans="1:14" hidden="1" x14ac:dyDescent="0.25">
      <c r="A226">
        <v>195</v>
      </c>
      <c r="B226" s="112">
        <v>51561</v>
      </c>
      <c r="C226" s="111">
        <f t="shared" si="27"/>
        <v>234394.37538396832</v>
      </c>
      <c r="D226" s="111">
        <f t="shared" si="28"/>
        <v>231354.93132094186</v>
      </c>
      <c r="E226" s="111">
        <f t="shared" si="25"/>
        <v>3039.444063026458</v>
      </c>
      <c r="F226" s="111">
        <f t="shared" si="26"/>
        <v>15108843.839229107</v>
      </c>
      <c r="J226" s="121">
        <v>51561</v>
      </c>
      <c r="K226" s="103">
        <f t="shared" si="29"/>
        <v>255091.40610574093</v>
      </c>
      <c r="L226" s="103">
        <f t="shared" si="30"/>
        <v>252833.94319187329</v>
      </c>
      <c r="M226" s="103">
        <f t="shared" si="31"/>
        <v>2257.4629138676391</v>
      </c>
      <c r="N226" s="103">
        <f t="shared" si="32"/>
        <v>15167779.128598584</v>
      </c>
    </row>
    <row r="227" spans="1:14" hidden="1" x14ac:dyDescent="0.25">
      <c r="A227">
        <v>196</v>
      </c>
      <c r="B227" s="112">
        <v>51592</v>
      </c>
      <c r="C227" s="111">
        <f t="shared" si="27"/>
        <v>234394.37538396832</v>
      </c>
      <c r="D227" s="111">
        <f t="shared" si="28"/>
        <v>231308.39904172337</v>
      </c>
      <c r="E227" s="111">
        <f t="shared" si="25"/>
        <v>3085.9763422449469</v>
      </c>
      <c r="F227" s="111">
        <f t="shared" si="26"/>
        <v>15105757.862886863</v>
      </c>
      <c r="J227" s="121">
        <v>51592</v>
      </c>
      <c r="K227" s="103">
        <f t="shared" si="29"/>
        <v>255091.40610574093</v>
      </c>
      <c r="L227" s="103">
        <f t="shared" si="30"/>
        <v>252796.31880997549</v>
      </c>
      <c r="M227" s="103">
        <f t="shared" si="31"/>
        <v>2295.0872957654356</v>
      </c>
      <c r="N227" s="103">
        <f t="shared" si="32"/>
        <v>15165484.041302819</v>
      </c>
    </row>
    <row r="228" spans="1:14" hidden="1" x14ac:dyDescent="0.25">
      <c r="A228">
        <v>197</v>
      </c>
      <c r="B228" s="112">
        <v>51622</v>
      </c>
      <c r="C228" s="111">
        <f t="shared" si="27"/>
        <v>234394.37538396832</v>
      </c>
      <c r="D228" s="111">
        <f t="shared" si="28"/>
        <v>231261.15437794893</v>
      </c>
      <c r="E228" s="111">
        <f t="shared" ref="E228:E291" si="33">C228-D228</f>
        <v>3133.2210060193902</v>
      </c>
      <c r="F228" s="111">
        <f t="shared" ref="F228:F291" si="34">F227-E228</f>
        <v>15102624.641880844</v>
      </c>
      <c r="J228" s="121">
        <v>51622</v>
      </c>
      <c r="K228" s="103">
        <f t="shared" si="29"/>
        <v>255091.40610574093</v>
      </c>
      <c r="L228" s="103">
        <f t="shared" si="30"/>
        <v>252758.06735504608</v>
      </c>
      <c r="M228" s="103">
        <f t="shared" si="31"/>
        <v>2333.3387506948493</v>
      </c>
      <c r="N228" s="103">
        <f t="shared" si="32"/>
        <v>15163150.702552125</v>
      </c>
    </row>
    <row r="229" spans="1:14" hidden="1" x14ac:dyDescent="0.25">
      <c r="A229">
        <v>198</v>
      </c>
      <c r="B229" s="112">
        <v>51653</v>
      </c>
      <c r="C229" s="111">
        <f t="shared" si="27"/>
        <v>234394.37538396832</v>
      </c>
      <c r="D229" s="111">
        <f t="shared" si="28"/>
        <v>231213.18642338814</v>
      </c>
      <c r="E229" s="111">
        <f t="shared" si="33"/>
        <v>3181.1889605801844</v>
      </c>
      <c r="F229" s="111">
        <f t="shared" si="34"/>
        <v>15099443.452920264</v>
      </c>
      <c r="J229" s="121">
        <v>51653</v>
      </c>
      <c r="K229" s="103">
        <f t="shared" si="29"/>
        <v>255091.40610574093</v>
      </c>
      <c r="L229" s="103">
        <f t="shared" si="30"/>
        <v>252719.17837586784</v>
      </c>
      <c r="M229" s="103">
        <f t="shared" si="31"/>
        <v>2372.2277298730914</v>
      </c>
      <c r="N229" s="103">
        <f t="shared" si="32"/>
        <v>15160778.474822251</v>
      </c>
    </row>
    <row r="230" spans="1:14" hidden="1" x14ac:dyDescent="0.25">
      <c r="A230">
        <v>199</v>
      </c>
      <c r="B230" s="112">
        <v>51683</v>
      </c>
      <c r="C230" s="111">
        <f t="shared" si="27"/>
        <v>234394.37538396832</v>
      </c>
      <c r="D230" s="111">
        <f t="shared" si="28"/>
        <v>231164.48410484206</v>
      </c>
      <c r="E230" s="111">
        <f t="shared" si="33"/>
        <v>3229.8912791262555</v>
      </c>
      <c r="F230" s="111">
        <f t="shared" si="34"/>
        <v>15096213.561641138</v>
      </c>
      <c r="J230" s="121">
        <v>51683</v>
      </c>
      <c r="K230" s="103">
        <f t="shared" si="29"/>
        <v>255091.40610574093</v>
      </c>
      <c r="L230" s="103">
        <f t="shared" si="30"/>
        <v>252679.64124703663</v>
      </c>
      <c r="M230" s="103">
        <f t="shared" si="31"/>
        <v>2411.7648587042931</v>
      </c>
      <c r="N230" s="103">
        <f t="shared" si="32"/>
        <v>15158366.709963547</v>
      </c>
    </row>
    <row r="231" spans="1:14" hidden="1" x14ac:dyDescent="0.25">
      <c r="A231">
        <v>200</v>
      </c>
      <c r="B231" s="112">
        <v>51714</v>
      </c>
      <c r="C231" s="111">
        <f t="shared" si="27"/>
        <v>234394.37538396832</v>
      </c>
      <c r="D231" s="111">
        <f t="shared" si="28"/>
        <v>231115.03617958695</v>
      </c>
      <c r="E231" s="111">
        <f t="shared" si="33"/>
        <v>3279.3392043813656</v>
      </c>
      <c r="F231" s="111">
        <f t="shared" si="34"/>
        <v>15092934.222436756</v>
      </c>
      <c r="J231" s="121">
        <v>51714</v>
      </c>
      <c r="K231" s="103">
        <f t="shared" si="29"/>
        <v>255091.40610574093</v>
      </c>
      <c r="L231" s="103">
        <f t="shared" si="30"/>
        <v>252639.44516605823</v>
      </c>
      <c r="M231" s="103">
        <f t="shared" si="31"/>
        <v>2451.9609396827</v>
      </c>
      <c r="N231" s="103">
        <f t="shared" si="32"/>
        <v>15155914.749023864</v>
      </c>
    </row>
    <row r="232" spans="1:14" hidden="1" x14ac:dyDescent="0.25">
      <c r="A232">
        <v>201</v>
      </c>
      <c r="B232" s="112">
        <v>51745</v>
      </c>
      <c r="C232" s="111">
        <f t="shared" si="27"/>
        <v>234394.37538396832</v>
      </c>
      <c r="D232" s="111">
        <f t="shared" si="28"/>
        <v>231064.83123277887</v>
      </c>
      <c r="E232" s="111">
        <f t="shared" si="33"/>
        <v>3329.544151189446</v>
      </c>
      <c r="F232" s="111">
        <f t="shared" si="34"/>
        <v>15089604.678285567</v>
      </c>
      <c r="J232" s="121">
        <v>51745</v>
      </c>
      <c r="K232" s="103">
        <f t="shared" si="29"/>
        <v>255091.40610574093</v>
      </c>
      <c r="L232" s="103">
        <f t="shared" si="30"/>
        <v>252598.57915039684</v>
      </c>
      <c r="M232" s="103">
        <f t="shared" si="31"/>
        <v>2492.8269553440914</v>
      </c>
      <c r="N232" s="103">
        <f t="shared" si="32"/>
        <v>15153421.92206852</v>
      </c>
    </row>
    <row r="233" spans="1:14" hidden="1" x14ac:dyDescent="0.25">
      <c r="A233">
        <v>202</v>
      </c>
      <c r="B233" s="112">
        <v>51775</v>
      </c>
      <c r="C233" s="111">
        <f t="shared" si="27"/>
        <v>234394.37538396832</v>
      </c>
      <c r="D233" s="111">
        <f t="shared" si="28"/>
        <v>231013.85767481869</v>
      </c>
      <c r="E233" s="111">
        <f t="shared" si="33"/>
        <v>3380.5177091496298</v>
      </c>
      <c r="F233" s="111">
        <f t="shared" si="34"/>
        <v>15086224.160576418</v>
      </c>
      <c r="J233" s="121">
        <v>51775</v>
      </c>
      <c r="K233" s="103">
        <f t="shared" si="29"/>
        <v>255091.40610574093</v>
      </c>
      <c r="L233" s="103">
        <f t="shared" si="30"/>
        <v>252557.03203447443</v>
      </c>
      <c r="M233" s="103">
        <f t="shared" si="31"/>
        <v>2534.3740712665021</v>
      </c>
      <c r="N233" s="103">
        <f t="shared" si="32"/>
        <v>15150887.547997253</v>
      </c>
    </row>
    <row r="234" spans="1:14" hidden="1" x14ac:dyDescent="0.25">
      <c r="A234">
        <v>203</v>
      </c>
      <c r="B234" s="112">
        <v>51806</v>
      </c>
      <c r="C234" s="111">
        <f t="shared" si="27"/>
        <v>234394.37538396832</v>
      </c>
      <c r="D234" s="111">
        <f t="shared" si="28"/>
        <v>230962.10373867664</v>
      </c>
      <c r="E234" s="111">
        <f t="shared" si="33"/>
        <v>3432.2716452916793</v>
      </c>
      <c r="F234" s="111">
        <f t="shared" si="34"/>
        <v>15082791.888931127</v>
      </c>
      <c r="J234" s="121">
        <v>51806</v>
      </c>
      <c r="K234" s="103">
        <f t="shared" si="29"/>
        <v>255091.40610574093</v>
      </c>
      <c r="L234" s="103">
        <f t="shared" si="30"/>
        <v>252514.79246661998</v>
      </c>
      <c r="M234" s="103">
        <f t="shared" si="31"/>
        <v>2576.6136391209438</v>
      </c>
      <c r="N234" s="103">
        <f t="shared" si="32"/>
        <v>15148310.934358131</v>
      </c>
    </row>
    <row r="235" spans="1:14" hidden="1" x14ac:dyDescent="0.25">
      <c r="A235">
        <v>204</v>
      </c>
      <c r="B235" s="112">
        <v>51836</v>
      </c>
      <c r="C235" s="111">
        <f t="shared" si="27"/>
        <v>234394.37538396832</v>
      </c>
      <c r="D235" s="111">
        <f t="shared" si="28"/>
        <v>230909.55747717601</v>
      </c>
      <c r="E235" s="111">
        <f t="shared" si="33"/>
        <v>3484.8179067923047</v>
      </c>
      <c r="F235" s="111">
        <f t="shared" si="34"/>
        <v>15079307.071024334</v>
      </c>
      <c r="J235" s="121">
        <v>51836</v>
      </c>
      <c r="K235" s="103">
        <f t="shared" si="29"/>
        <v>255091.40610574093</v>
      </c>
      <c r="L235" s="103">
        <f t="shared" si="30"/>
        <v>252471.84890596796</v>
      </c>
      <c r="M235" s="103">
        <f t="shared" si="31"/>
        <v>2619.5571997729712</v>
      </c>
      <c r="N235" s="103">
        <f t="shared" si="32"/>
        <v>15145691.377158359</v>
      </c>
    </row>
    <row r="236" spans="1:14" hidden="1" x14ac:dyDescent="0.25">
      <c r="A236">
        <v>205</v>
      </c>
      <c r="B236" s="112">
        <v>51867</v>
      </c>
      <c r="C236" s="111">
        <f t="shared" si="27"/>
        <v>234394.37538396832</v>
      </c>
      <c r="D236" s="111">
        <f t="shared" si="28"/>
        <v>230856.20676023501</v>
      </c>
      <c r="E236" s="111">
        <f t="shared" si="33"/>
        <v>3538.1686237333051</v>
      </c>
      <c r="F236" s="111">
        <f t="shared" si="34"/>
        <v>15075768.902400602</v>
      </c>
      <c r="J236" s="121">
        <v>51867</v>
      </c>
      <c r="K236" s="103">
        <f t="shared" si="29"/>
        <v>255091.40610574093</v>
      </c>
      <c r="L236" s="103">
        <f t="shared" si="30"/>
        <v>252428.18961930508</v>
      </c>
      <c r="M236" s="103">
        <f t="shared" si="31"/>
        <v>2663.2164864358492</v>
      </c>
      <c r="N236" s="103">
        <f t="shared" si="32"/>
        <v>15143028.160671923</v>
      </c>
    </row>
    <row r="237" spans="1:14" hidden="1" x14ac:dyDescent="0.25">
      <c r="A237">
        <v>206</v>
      </c>
      <c r="B237" s="112">
        <v>51898</v>
      </c>
      <c r="C237" s="111">
        <f t="shared" si="27"/>
        <v>234394.37538396832</v>
      </c>
      <c r="D237" s="111">
        <f t="shared" si="28"/>
        <v>230802.0392720669</v>
      </c>
      <c r="E237" s="111">
        <f t="shared" si="33"/>
        <v>3592.3361119014153</v>
      </c>
      <c r="F237" s="111">
        <f t="shared" si="34"/>
        <v>15072176.5662887</v>
      </c>
      <c r="J237" s="121">
        <v>51898</v>
      </c>
      <c r="K237" s="103">
        <f t="shared" si="29"/>
        <v>255091.40610574093</v>
      </c>
      <c r="L237" s="103">
        <f t="shared" si="30"/>
        <v>252383.8026778645</v>
      </c>
      <c r="M237" s="103">
        <f t="shared" si="31"/>
        <v>2707.6034278764273</v>
      </c>
      <c r="N237" s="103">
        <f t="shared" si="32"/>
        <v>15140320.557244048</v>
      </c>
    </row>
    <row r="238" spans="1:14" hidden="1" x14ac:dyDescent="0.25">
      <c r="A238">
        <v>207</v>
      </c>
      <c r="B238" s="112">
        <v>51926</v>
      </c>
      <c r="C238" s="111">
        <f t="shared" si="27"/>
        <v>234394.37538396832</v>
      </c>
      <c r="D238" s="111">
        <f t="shared" si="28"/>
        <v>230747.04250833663</v>
      </c>
      <c r="E238" s="111">
        <f t="shared" si="33"/>
        <v>3647.3328756316914</v>
      </c>
      <c r="F238" s="111">
        <f t="shared" si="34"/>
        <v>15068529.233413069</v>
      </c>
      <c r="J238" s="121">
        <v>51926</v>
      </c>
      <c r="K238" s="103">
        <f t="shared" si="29"/>
        <v>255091.40610574093</v>
      </c>
      <c r="L238" s="103">
        <f t="shared" si="30"/>
        <v>252338.67595406657</v>
      </c>
      <c r="M238" s="103">
        <f t="shared" si="31"/>
        <v>2752.730151674361</v>
      </c>
      <c r="N238" s="103">
        <f t="shared" si="32"/>
        <v>15137567.827092374</v>
      </c>
    </row>
    <row r="239" spans="1:14" hidden="1" x14ac:dyDescent="0.25">
      <c r="A239">
        <v>208</v>
      </c>
      <c r="B239" s="112">
        <v>51957</v>
      </c>
      <c r="C239" s="111">
        <f t="shared" si="27"/>
        <v>234394.37538396832</v>
      </c>
      <c r="D239" s="111">
        <f t="shared" si="28"/>
        <v>230691.20377327446</v>
      </c>
      <c r="E239" s="111">
        <f t="shared" si="33"/>
        <v>3703.1716106938547</v>
      </c>
      <c r="F239" s="111">
        <f t="shared" si="34"/>
        <v>15064826.061802374</v>
      </c>
      <c r="J239" s="121">
        <v>51957</v>
      </c>
      <c r="K239" s="103">
        <f t="shared" si="29"/>
        <v>255091.40610574093</v>
      </c>
      <c r="L239" s="103">
        <f t="shared" si="30"/>
        <v>252292.79711820534</v>
      </c>
      <c r="M239" s="103">
        <f t="shared" si="31"/>
        <v>2798.6089875355829</v>
      </c>
      <c r="N239" s="103">
        <f t="shared" si="32"/>
        <v>15134769.218104837</v>
      </c>
    </row>
    <row r="240" spans="1:14" hidden="1" x14ac:dyDescent="0.25">
      <c r="A240">
        <v>209</v>
      </c>
      <c r="B240" s="112">
        <v>51987</v>
      </c>
      <c r="C240" s="111">
        <f t="shared" si="27"/>
        <v>234394.37538396832</v>
      </c>
      <c r="D240" s="111">
        <f t="shared" si="28"/>
        <v>230634.5101767451</v>
      </c>
      <c r="E240" s="111">
        <f t="shared" si="33"/>
        <v>3759.8652072232217</v>
      </c>
      <c r="F240" s="111">
        <f t="shared" si="34"/>
        <v>15061066.196595151</v>
      </c>
      <c r="J240" s="121">
        <v>51987</v>
      </c>
      <c r="K240" s="103">
        <f t="shared" si="29"/>
        <v>255091.40610574093</v>
      </c>
      <c r="L240" s="103">
        <f t="shared" si="30"/>
        <v>252246.15363507974</v>
      </c>
      <c r="M240" s="103">
        <f t="shared" si="31"/>
        <v>2845.2524706611875</v>
      </c>
      <c r="N240" s="103">
        <f t="shared" si="32"/>
        <v>15131923.965634177</v>
      </c>
    </row>
    <row r="241" spans="1:14" hidden="1" x14ac:dyDescent="0.25">
      <c r="A241">
        <v>210</v>
      </c>
      <c r="B241" s="112">
        <v>52018</v>
      </c>
      <c r="C241" s="111">
        <f t="shared" si="27"/>
        <v>234394.37538396832</v>
      </c>
      <c r="D241" s="111">
        <f t="shared" si="28"/>
        <v>230576.94863127213</v>
      </c>
      <c r="E241" s="111">
        <f t="shared" si="33"/>
        <v>3817.4267526961921</v>
      </c>
      <c r="F241" s="111">
        <f t="shared" si="34"/>
        <v>15057248.769842455</v>
      </c>
      <c r="J241" s="121">
        <v>52018</v>
      </c>
      <c r="K241" s="103">
        <f t="shared" si="29"/>
        <v>255091.40610574093</v>
      </c>
      <c r="L241" s="103">
        <f t="shared" si="30"/>
        <v>252198.7327605687</v>
      </c>
      <c r="M241" s="103">
        <f t="shared" si="31"/>
        <v>2892.6733451722248</v>
      </c>
      <c r="N241" s="103">
        <f t="shared" si="32"/>
        <v>15129031.292289004</v>
      </c>
    </row>
    <row r="242" spans="1:14" hidden="1" x14ac:dyDescent="0.25">
      <c r="A242">
        <v>211</v>
      </c>
      <c r="B242" s="112">
        <v>52048</v>
      </c>
      <c r="C242" s="111">
        <f t="shared" si="27"/>
        <v>234394.37538396832</v>
      </c>
      <c r="D242" s="111">
        <f t="shared" si="28"/>
        <v>230518.50584901686</v>
      </c>
      <c r="E242" s="111">
        <f t="shared" si="33"/>
        <v>3875.8695349514601</v>
      </c>
      <c r="F242" s="111">
        <f t="shared" si="34"/>
        <v>15053372.900307504</v>
      </c>
      <c r="J242" s="121">
        <v>52048</v>
      </c>
      <c r="K242" s="103">
        <f t="shared" si="29"/>
        <v>255091.40610574093</v>
      </c>
      <c r="L242" s="103">
        <f t="shared" si="30"/>
        <v>252150.52153814916</v>
      </c>
      <c r="M242" s="103">
        <f t="shared" si="31"/>
        <v>2940.8845675917692</v>
      </c>
      <c r="N242" s="103">
        <f t="shared" si="32"/>
        <v>15126090.407721411</v>
      </c>
    </row>
    <row r="243" spans="1:14" hidden="1" x14ac:dyDescent="0.25">
      <c r="A243">
        <v>212</v>
      </c>
      <c r="B243" s="112">
        <v>52079</v>
      </c>
      <c r="C243" s="111">
        <f t="shared" si="27"/>
        <v>234394.37538396832</v>
      </c>
      <c r="D243" s="111">
        <f t="shared" si="28"/>
        <v>230459.16833871073</v>
      </c>
      <c r="E243" s="111">
        <f t="shared" si="33"/>
        <v>3935.2070452575863</v>
      </c>
      <c r="F243" s="111">
        <f t="shared" si="34"/>
        <v>15049437.693262247</v>
      </c>
      <c r="J243" s="121">
        <v>52079</v>
      </c>
      <c r="K243" s="103">
        <f t="shared" si="29"/>
        <v>255091.40610574093</v>
      </c>
      <c r="L243" s="103">
        <f t="shared" si="30"/>
        <v>252101.50679535596</v>
      </c>
      <c r="M243" s="103">
        <f t="shared" si="31"/>
        <v>2989.8993103849643</v>
      </c>
      <c r="N243" s="103">
        <f t="shared" si="32"/>
        <v>15123100.508411026</v>
      </c>
    </row>
    <row r="244" spans="1:14" hidden="1" x14ac:dyDescent="0.25">
      <c r="A244">
        <v>213</v>
      </c>
      <c r="B244" s="112">
        <v>52110</v>
      </c>
      <c r="C244" s="111">
        <f t="shared" si="27"/>
        <v>234394.37538396832</v>
      </c>
      <c r="D244" s="111">
        <f t="shared" si="28"/>
        <v>230398.92240254104</v>
      </c>
      <c r="E244" s="111">
        <f t="shared" si="33"/>
        <v>3995.4529814272828</v>
      </c>
      <c r="F244" s="111">
        <f t="shared" si="34"/>
        <v>15045442.24028082</v>
      </c>
      <c r="J244" s="121">
        <v>52110</v>
      </c>
      <c r="K244" s="103">
        <f t="shared" si="29"/>
        <v>255091.40610574093</v>
      </c>
      <c r="L244" s="103">
        <f t="shared" si="30"/>
        <v>252051.67514018287</v>
      </c>
      <c r="M244" s="103">
        <f t="shared" si="31"/>
        <v>3039.7309655580611</v>
      </c>
      <c r="N244" s="103">
        <f t="shared" si="32"/>
        <v>15120060.777445467</v>
      </c>
    </row>
    <row r="245" spans="1:14" hidden="1" x14ac:dyDescent="0.25">
      <c r="A245">
        <v>214</v>
      </c>
      <c r="B245" s="112">
        <v>52140</v>
      </c>
      <c r="C245" s="111">
        <f t="shared" si="27"/>
        <v>234394.37538396832</v>
      </c>
      <c r="D245" s="111">
        <f t="shared" si="28"/>
        <v>230337.7541329888</v>
      </c>
      <c r="E245" s="111">
        <f t="shared" si="33"/>
        <v>4056.621250979515</v>
      </c>
      <c r="F245" s="111">
        <f t="shared" si="34"/>
        <v>15041385.61902984</v>
      </c>
      <c r="J245" s="121">
        <v>52140</v>
      </c>
      <c r="K245" s="103">
        <f t="shared" si="29"/>
        <v>255091.40610574093</v>
      </c>
      <c r="L245" s="103">
        <f t="shared" si="30"/>
        <v>252001.01295742355</v>
      </c>
      <c r="M245" s="103">
        <f t="shared" si="31"/>
        <v>3090.3931483173801</v>
      </c>
      <c r="N245" s="103">
        <f t="shared" si="32"/>
        <v>15116970.384297149</v>
      </c>
    </row>
    <row r="246" spans="1:14" hidden="1" x14ac:dyDescent="0.25">
      <c r="A246">
        <v>215</v>
      </c>
      <c r="B246" s="112">
        <v>52171</v>
      </c>
      <c r="C246" s="111">
        <f t="shared" si="27"/>
        <v>234394.37538396832</v>
      </c>
      <c r="D246" s="111">
        <f t="shared" si="28"/>
        <v>230275.64940961835</v>
      </c>
      <c r="E246" s="111">
        <f t="shared" si="33"/>
        <v>4118.7259743499744</v>
      </c>
      <c r="F246" s="111">
        <f t="shared" si="34"/>
        <v>15037266.893055491</v>
      </c>
      <c r="J246" s="121">
        <v>52171</v>
      </c>
      <c r="K246" s="103">
        <f t="shared" si="29"/>
        <v>255091.40610574093</v>
      </c>
      <c r="L246" s="103">
        <f t="shared" si="30"/>
        <v>251949.50640495159</v>
      </c>
      <c r="M246" s="103">
        <f t="shared" si="31"/>
        <v>3141.899700789334</v>
      </c>
      <c r="N246" s="103">
        <f t="shared" si="32"/>
        <v>15113828.48459636</v>
      </c>
    </row>
    <row r="247" spans="1:14" hidden="1" x14ac:dyDescent="0.25">
      <c r="A247">
        <v>216</v>
      </c>
      <c r="B247" s="112">
        <v>52201</v>
      </c>
      <c r="C247" s="111">
        <f t="shared" si="27"/>
        <v>234394.37538396832</v>
      </c>
      <c r="D247" s="111">
        <f t="shared" si="28"/>
        <v>230212.59389581755</v>
      </c>
      <c r="E247" s="111">
        <f t="shared" si="33"/>
        <v>4181.7814881507657</v>
      </c>
      <c r="F247" s="111">
        <f t="shared" si="34"/>
        <v>15033085.111567341</v>
      </c>
      <c r="J247" s="121">
        <v>52201</v>
      </c>
      <c r="K247" s="103">
        <f t="shared" si="29"/>
        <v>255091.40610574093</v>
      </c>
      <c r="L247" s="103">
        <f t="shared" si="30"/>
        <v>251897.14140993846</v>
      </c>
      <c r="M247" s="103">
        <f t="shared" si="31"/>
        <v>3194.2646958024707</v>
      </c>
      <c r="N247" s="103">
        <f t="shared" si="32"/>
        <v>15110634.219900558</v>
      </c>
    </row>
    <row r="248" spans="1:14" hidden="1" x14ac:dyDescent="0.25">
      <c r="A248">
        <v>217</v>
      </c>
      <c r="B248" s="112">
        <v>52232</v>
      </c>
      <c r="C248" s="111">
        <f t="shared" si="27"/>
        <v>234394.37538396832</v>
      </c>
      <c r="D248" s="111">
        <f t="shared" si="28"/>
        <v>230148.5730354884</v>
      </c>
      <c r="E248" s="111">
        <f t="shared" si="33"/>
        <v>4245.8023484799196</v>
      </c>
      <c r="F248" s="111">
        <f t="shared" si="34"/>
        <v>15028839.309218861</v>
      </c>
      <c r="J248" s="121">
        <v>52232</v>
      </c>
      <c r="K248" s="103">
        <f t="shared" si="29"/>
        <v>255091.40610574093</v>
      </c>
      <c r="L248" s="103">
        <f t="shared" si="30"/>
        <v>251843.9036650084</v>
      </c>
      <c r="M248" s="103">
        <f t="shared" si="31"/>
        <v>3247.5024407325254</v>
      </c>
      <c r="N248" s="103">
        <f t="shared" si="32"/>
        <v>15107386.717459826</v>
      </c>
    </row>
    <row r="249" spans="1:14" hidden="1" x14ac:dyDescent="0.25">
      <c r="A249">
        <v>218</v>
      </c>
      <c r="B249" s="112">
        <v>52263</v>
      </c>
      <c r="C249" s="111">
        <f t="shared" si="27"/>
        <v>234394.37538396832</v>
      </c>
      <c r="D249" s="111">
        <f t="shared" si="28"/>
        <v>230083.57204968666</v>
      </c>
      <c r="E249" s="111">
        <f t="shared" si="33"/>
        <v>4310.8033342816634</v>
      </c>
      <c r="F249" s="111">
        <f t="shared" si="34"/>
        <v>15024528.50588458</v>
      </c>
      <c r="J249" s="121">
        <v>52263</v>
      </c>
      <c r="K249" s="103">
        <f t="shared" si="29"/>
        <v>255091.40610574093</v>
      </c>
      <c r="L249" s="103">
        <f t="shared" si="30"/>
        <v>251789.77862432954</v>
      </c>
      <c r="M249" s="103">
        <f t="shared" si="31"/>
        <v>3301.6274814113858</v>
      </c>
      <c r="N249" s="103">
        <f t="shared" si="32"/>
        <v>15104085.089978414</v>
      </c>
    </row>
    <row r="250" spans="1:14" hidden="1" x14ac:dyDescent="0.25">
      <c r="A250">
        <v>219</v>
      </c>
      <c r="B250" s="112">
        <v>52291</v>
      </c>
      <c r="C250" s="111">
        <f t="shared" si="27"/>
        <v>234394.37538396832</v>
      </c>
      <c r="D250" s="111">
        <f t="shared" si="28"/>
        <v>230017.57593321035</v>
      </c>
      <c r="E250" s="111">
        <f t="shared" si="33"/>
        <v>4376.7994507579715</v>
      </c>
      <c r="F250" s="111">
        <f t="shared" si="34"/>
        <v>15020151.706433821</v>
      </c>
      <c r="J250" s="121">
        <v>52291</v>
      </c>
      <c r="K250" s="103">
        <f t="shared" si="29"/>
        <v>255091.40610574093</v>
      </c>
      <c r="L250" s="103">
        <f t="shared" si="30"/>
        <v>251734.75149963933</v>
      </c>
      <c r="M250" s="103">
        <f t="shared" si="31"/>
        <v>3356.6546061015979</v>
      </c>
      <c r="N250" s="103">
        <f t="shared" si="32"/>
        <v>15100728.435372312</v>
      </c>
    </row>
    <row r="251" spans="1:14" hidden="1" x14ac:dyDescent="0.25">
      <c r="A251">
        <v>220</v>
      </c>
      <c r="B251" s="112">
        <v>52322</v>
      </c>
      <c r="C251" s="111">
        <f t="shared" si="27"/>
        <v>234394.37538396832</v>
      </c>
      <c r="D251" s="111">
        <f t="shared" si="28"/>
        <v>229950.56945113573</v>
      </c>
      <c r="E251" s="111">
        <f t="shared" si="33"/>
        <v>4443.8059328325908</v>
      </c>
      <c r="F251" s="111">
        <f t="shared" si="34"/>
        <v>15015707.900500989</v>
      </c>
      <c r="J251" s="121">
        <v>52322</v>
      </c>
      <c r="K251" s="103">
        <f t="shared" si="29"/>
        <v>255091.40610574093</v>
      </c>
      <c r="L251" s="103">
        <f t="shared" si="30"/>
        <v>251678.80725620431</v>
      </c>
      <c r="M251" s="103">
        <f t="shared" si="31"/>
        <v>3412.5988495366182</v>
      </c>
      <c r="N251" s="103">
        <f t="shared" si="32"/>
        <v>15097315.836522775</v>
      </c>
    </row>
    <row r="252" spans="1:14" hidden="1" x14ac:dyDescent="0.25">
      <c r="A252">
        <v>221</v>
      </c>
      <c r="B252" s="112">
        <v>52352</v>
      </c>
      <c r="C252" s="111">
        <f t="shared" si="27"/>
        <v>234394.37538396832</v>
      </c>
      <c r="D252" s="111">
        <f t="shared" si="28"/>
        <v>229882.53713530049</v>
      </c>
      <c r="E252" s="111">
        <f t="shared" si="33"/>
        <v>4511.8382486678311</v>
      </c>
      <c r="F252" s="111">
        <f t="shared" si="34"/>
        <v>15011196.06225232</v>
      </c>
      <c r="J252" s="121">
        <v>52352</v>
      </c>
      <c r="K252" s="103">
        <f t="shared" si="29"/>
        <v>255091.40610574093</v>
      </c>
      <c r="L252" s="103">
        <f t="shared" si="30"/>
        <v>251621.93060871202</v>
      </c>
      <c r="M252" s="103">
        <f t="shared" si="31"/>
        <v>3469.4754970289068</v>
      </c>
      <c r="N252" s="103">
        <f t="shared" si="32"/>
        <v>15093846.361025745</v>
      </c>
    </row>
    <row r="253" spans="1:14" hidden="1" x14ac:dyDescent="0.25">
      <c r="A253">
        <v>222</v>
      </c>
      <c r="B253" s="112">
        <v>52383</v>
      </c>
      <c r="C253" s="111">
        <f t="shared" si="27"/>
        <v>234394.37538396832</v>
      </c>
      <c r="D253" s="111">
        <f t="shared" si="28"/>
        <v>229813.46328073295</v>
      </c>
      <c r="E253" s="111">
        <f t="shared" si="33"/>
        <v>4580.9121032353723</v>
      </c>
      <c r="F253" s="111">
        <f t="shared" si="34"/>
        <v>15006615.150149085</v>
      </c>
      <c r="J253" s="121">
        <v>52383</v>
      </c>
      <c r="K253" s="103">
        <f t="shared" si="29"/>
        <v>255091.40610574093</v>
      </c>
      <c r="L253" s="103">
        <f t="shared" si="30"/>
        <v>251564.10601709486</v>
      </c>
      <c r="M253" s="103">
        <f t="shared" si="31"/>
        <v>3527.300088646065</v>
      </c>
      <c r="N253" s="103">
        <f t="shared" si="32"/>
        <v>15090319.060937099</v>
      </c>
    </row>
    <row r="254" spans="1:14" hidden="1" x14ac:dyDescent="0.25">
      <c r="A254">
        <v>223</v>
      </c>
      <c r="B254" s="112">
        <v>52413</v>
      </c>
      <c r="C254" s="111">
        <f t="shared" si="27"/>
        <v>234394.37538396832</v>
      </c>
      <c r="D254" s="111">
        <f t="shared" si="28"/>
        <v>229743.33194202659</v>
      </c>
      <c r="E254" s="111">
        <f t="shared" si="33"/>
        <v>4651.0434419417288</v>
      </c>
      <c r="F254" s="111">
        <f t="shared" si="34"/>
        <v>15001964.106707143</v>
      </c>
      <c r="J254" s="121">
        <v>52413</v>
      </c>
      <c r="K254" s="103">
        <f t="shared" si="29"/>
        <v>255091.40610574093</v>
      </c>
      <c r="L254" s="103">
        <f t="shared" si="30"/>
        <v>251505.31768228411</v>
      </c>
      <c r="M254" s="103">
        <f t="shared" si="31"/>
        <v>3586.0884234568221</v>
      </c>
      <c r="N254" s="103">
        <f t="shared" si="32"/>
        <v>15086732.972513642</v>
      </c>
    </row>
    <row r="255" spans="1:14" hidden="1" x14ac:dyDescent="0.25">
      <c r="A255">
        <v>224</v>
      </c>
      <c r="B255" s="112">
        <v>52444</v>
      </c>
      <c r="C255" s="111">
        <f t="shared" si="27"/>
        <v>234394.37538396832</v>
      </c>
      <c r="D255" s="111">
        <f t="shared" si="28"/>
        <v>229672.12692965922</v>
      </c>
      <c r="E255" s="111">
        <f t="shared" si="33"/>
        <v>4722.2484543090977</v>
      </c>
      <c r="F255" s="111">
        <f t="shared" si="34"/>
        <v>14997241.858252833</v>
      </c>
      <c r="J255" s="121">
        <v>52444</v>
      </c>
      <c r="K255" s="103">
        <f t="shared" si="29"/>
        <v>255091.40610574093</v>
      </c>
      <c r="L255" s="103">
        <f t="shared" si="30"/>
        <v>251445.54954189315</v>
      </c>
      <c r="M255" s="103">
        <f t="shared" si="31"/>
        <v>3645.8565638477739</v>
      </c>
      <c r="N255" s="103">
        <f t="shared" si="32"/>
        <v>15083087.115949795</v>
      </c>
    </row>
    <row r="256" spans="1:14" hidden="1" x14ac:dyDescent="0.25">
      <c r="A256">
        <v>225</v>
      </c>
      <c r="B256" s="112">
        <v>52475</v>
      </c>
      <c r="C256" s="111">
        <f t="shared" si="27"/>
        <v>234394.37538396832</v>
      </c>
      <c r="D256" s="111">
        <f t="shared" si="28"/>
        <v>229599.83180625556</v>
      </c>
      <c r="E256" s="111">
        <f t="shared" si="33"/>
        <v>4794.5435777127568</v>
      </c>
      <c r="F256" s="111">
        <f t="shared" si="34"/>
        <v>14992447.314675121</v>
      </c>
      <c r="J256" s="121">
        <v>52475</v>
      </c>
      <c r="K256" s="103">
        <f t="shared" si="29"/>
        <v>255091.40610574093</v>
      </c>
      <c r="L256" s="103">
        <f t="shared" si="30"/>
        <v>251384.78526582901</v>
      </c>
      <c r="M256" s="103">
        <f t="shared" si="31"/>
        <v>3706.6208399119205</v>
      </c>
      <c r="N256" s="103">
        <f t="shared" si="32"/>
        <v>15079380.495109882</v>
      </c>
    </row>
    <row r="257" spans="1:14" hidden="1" x14ac:dyDescent="0.25">
      <c r="A257">
        <v>226</v>
      </c>
      <c r="B257" s="112">
        <v>52505</v>
      </c>
      <c r="C257" s="111">
        <f t="shared" si="27"/>
        <v>234394.37538396832</v>
      </c>
      <c r="D257" s="111">
        <f t="shared" si="28"/>
        <v>229526.4298827929</v>
      </c>
      <c r="E257" s="111">
        <f t="shared" si="33"/>
        <v>4867.945501175418</v>
      </c>
      <c r="F257" s="111">
        <f t="shared" si="34"/>
        <v>14987579.369173946</v>
      </c>
      <c r="J257" s="121">
        <v>52505</v>
      </c>
      <c r="K257" s="103">
        <f t="shared" si="29"/>
        <v>255091.40610574093</v>
      </c>
      <c r="L257" s="103">
        <f t="shared" si="30"/>
        <v>251323.00825183047</v>
      </c>
      <c r="M257" s="103">
        <f t="shared" si="31"/>
        <v>3768.3978539104573</v>
      </c>
      <c r="N257" s="103">
        <f t="shared" si="32"/>
        <v>15075612.097255971</v>
      </c>
    </row>
    <row r="258" spans="1:14" hidden="1" x14ac:dyDescent="0.25">
      <c r="A258">
        <v>227</v>
      </c>
      <c r="B258" s="112">
        <v>52536</v>
      </c>
      <c r="C258" s="111">
        <f t="shared" si="27"/>
        <v>234394.37538396832</v>
      </c>
      <c r="D258" s="111">
        <f t="shared" si="28"/>
        <v>229451.90421474836</v>
      </c>
      <c r="E258" s="111">
        <f t="shared" si="33"/>
        <v>4942.4711692199635</v>
      </c>
      <c r="F258" s="111">
        <f t="shared" si="34"/>
        <v>14982636.898004726</v>
      </c>
      <c r="J258" s="121">
        <v>52536</v>
      </c>
      <c r="K258" s="103">
        <f t="shared" si="29"/>
        <v>255091.40610574093</v>
      </c>
      <c r="L258" s="103">
        <f t="shared" si="30"/>
        <v>251260.20162093197</v>
      </c>
      <c r="M258" s="103">
        <f t="shared" si="31"/>
        <v>3831.2044848089572</v>
      </c>
      <c r="N258" s="103">
        <f t="shared" si="32"/>
        <v>15071780.892771162</v>
      </c>
    </row>
    <row r="259" spans="1:14" hidden="1" x14ac:dyDescent="0.25">
      <c r="A259">
        <v>228</v>
      </c>
      <c r="B259" s="112">
        <v>52566</v>
      </c>
      <c r="C259" s="111">
        <f t="shared" si="27"/>
        <v>234394.37538396832</v>
      </c>
      <c r="D259" s="111">
        <f t="shared" si="28"/>
        <v>229376.23759818741</v>
      </c>
      <c r="E259" s="111">
        <f t="shared" si="33"/>
        <v>5018.137785780913</v>
      </c>
      <c r="F259" s="111">
        <f t="shared" si="34"/>
        <v>14977618.760218944</v>
      </c>
      <c r="J259" s="121">
        <v>52566</v>
      </c>
      <c r="K259" s="103">
        <f t="shared" si="29"/>
        <v>255091.40610574093</v>
      </c>
      <c r="L259" s="103">
        <f t="shared" si="30"/>
        <v>251196.34821285182</v>
      </c>
      <c r="M259" s="103">
        <f t="shared" si="31"/>
        <v>3895.0578928891046</v>
      </c>
      <c r="N259" s="103">
        <f t="shared" si="32"/>
        <v>15067885.834878273</v>
      </c>
    </row>
    <row r="260" spans="1:14" hidden="1" x14ac:dyDescent="0.25">
      <c r="A260">
        <v>229</v>
      </c>
      <c r="B260" s="112">
        <v>52597</v>
      </c>
      <c r="C260" s="111">
        <f t="shared" si="27"/>
        <v>234394.37538396832</v>
      </c>
      <c r="D260" s="111">
        <f t="shared" si="28"/>
        <v>229299.41256579242</v>
      </c>
      <c r="E260" s="111">
        <f t="shared" si="33"/>
        <v>5094.9628181759035</v>
      </c>
      <c r="F260" s="111">
        <f t="shared" si="34"/>
        <v>14972523.797400769</v>
      </c>
      <c r="J260" s="121">
        <v>52597</v>
      </c>
      <c r="K260" s="103">
        <f t="shared" si="29"/>
        <v>255091.40610574093</v>
      </c>
      <c r="L260" s="103">
        <f t="shared" si="30"/>
        <v>251131.43058130366</v>
      </c>
      <c r="M260" s="103">
        <f t="shared" si="31"/>
        <v>3959.9755244372645</v>
      </c>
      <c r="N260" s="103">
        <f t="shared" si="32"/>
        <v>15063925.859353837</v>
      </c>
    </row>
    <row r="261" spans="1:14" hidden="1" x14ac:dyDescent="0.25">
      <c r="A261">
        <v>230</v>
      </c>
      <c r="B261" s="112">
        <v>52628</v>
      </c>
      <c r="C261" s="111">
        <f t="shared" si="27"/>
        <v>234394.37538396832</v>
      </c>
      <c r="D261" s="111">
        <f t="shared" si="28"/>
        <v>229221.41138283032</v>
      </c>
      <c r="E261" s="111">
        <f t="shared" si="33"/>
        <v>5172.9640011379961</v>
      </c>
      <c r="F261" s="111">
        <f t="shared" si="34"/>
        <v>14967350.833399631</v>
      </c>
      <c r="J261" s="121">
        <v>52628</v>
      </c>
      <c r="K261" s="103">
        <f t="shared" si="29"/>
        <v>255091.40610574093</v>
      </c>
      <c r="L261" s="103">
        <f t="shared" si="30"/>
        <v>251065.43098922973</v>
      </c>
      <c r="M261" s="103">
        <f t="shared" si="31"/>
        <v>4025.9751165111957</v>
      </c>
      <c r="N261" s="103">
        <f t="shared" si="32"/>
        <v>15059899.884237325</v>
      </c>
    </row>
    <row r="262" spans="1:14" hidden="1" x14ac:dyDescent="0.25">
      <c r="A262">
        <v>231</v>
      </c>
      <c r="B262" s="112">
        <v>52657</v>
      </c>
      <c r="C262" s="111">
        <f t="shared" si="27"/>
        <v>234394.37538396832</v>
      </c>
      <c r="D262" s="111">
        <f t="shared" si="28"/>
        <v>229142.21604305872</v>
      </c>
      <c r="E262" s="111">
        <f t="shared" si="33"/>
        <v>5252.1593409095949</v>
      </c>
      <c r="F262" s="111">
        <f t="shared" si="34"/>
        <v>14962098.674058722</v>
      </c>
      <c r="J262" s="121">
        <v>52657</v>
      </c>
      <c r="K262" s="103">
        <f t="shared" si="29"/>
        <v>255091.40610574093</v>
      </c>
      <c r="L262" s="103">
        <f t="shared" si="30"/>
        <v>250998.33140395451</v>
      </c>
      <c r="M262" s="103">
        <f t="shared" si="31"/>
        <v>4093.0747017864196</v>
      </c>
      <c r="N262" s="103">
        <f t="shared" si="32"/>
        <v>15055806.809535539</v>
      </c>
    </row>
    <row r="263" spans="1:14" hidden="1" x14ac:dyDescent="0.25">
      <c r="A263">
        <v>232</v>
      </c>
      <c r="B263" s="112">
        <v>52688</v>
      </c>
      <c r="C263" s="111">
        <f t="shared" si="27"/>
        <v>234394.37538396832</v>
      </c>
      <c r="D263" s="111">
        <f t="shared" si="28"/>
        <v>229061.8082645692</v>
      </c>
      <c r="E263" s="111">
        <f t="shared" si="33"/>
        <v>5332.5671193991147</v>
      </c>
      <c r="F263" s="111">
        <f t="shared" si="34"/>
        <v>14956766.106939323</v>
      </c>
      <c r="J263" s="121">
        <v>52688</v>
      </c>
      <c r="K263" s="103">
        <f t="shared" si="29"/>
        <v>255091.40610574093</v>
      </c>
      <c r="L263" s="103">
        <f t="shared" si="30"/>
        <v>250930.1134922581</v>
      </c>
      <c r="M263" s="103">
        <f t="shared" si="31"/>
        <v>4161.2926134828303</v>
      </c>
      <c r="N263" s="103">
        <f t="shared" si="32"/>
        <v>15051645.516922057</v>
      </c>
    </row>
    <row r="264" spans="1:14" hidden="1" x14ac:dyDescent="0.25">
      <c r="A264">
        <v>233</v>
      </c>
      <c r="B264" s="112">
        <v>52718</v>
      </c>
      <c r="C264" s="111">
        <f t="shared" si="27"/>
        <v>234394.37538396832</v>
      </c>
      <c r="D264" s="111">
        <f t="shared" si="28"/>
        <v>228980.16948556693</v>
      </c>
      <c r="E264" s="111">
        <f t="shared" si="33"/>
        <v>5414.2058984013856</v>
      </c>
      <c r="F264" s="111">
        <f t="shared" si="34"/>
        <v>14951351.901040921</v>
      </c>
      <c r="J264" s="121">
        <v>52718</v>
      </c>
      <c r="K264" s="103">
        <f t="shared" si="29"/>
        <v>255091.40610574093</v>
      </c>
      <c r="L264" s="103">
        <f t="shared" si="30"/>
        <v>250860.75861536671</v>
      </c>
      <c r="M264" s="103">
        <f t="shared" si="31"/>
        <v>4230.6474903742201</v>
      </c>
      <c r="N264" s="103">
        <f t="shared" si="32"/>
        <v>15047414.869431682</v>
      </c>
    </row>
    <row r="265" spans="1:14" x14ac:dyDescent="0.25">
      <c r="A265">
        <v>234</v>
      </c>
      <c r="B265" s="112">
        <v>52749</v>
      </c>
      <c r="C265" s="111">
        <f t="shared" si="27"/>
        <v>234394.37538396832</v>
      </c>
      <c r="D265" s="111">
        <f t="shared" si="28"/>
        <v>228897.28086008586</v>
      </c>
      <c r="E265" s="111">
        <f t="shared" si="33"/>
        <v>5497.0945238824643</v>
      </c>
      <c r="F265" s="111">
        <f t="shared" si="34"/>
        <v>14945854.806517038</v>
      </c>
      <c r="G265" t="s">
        <v>49</v>
      </c>
      <c r="J265" s="121">
        <v>52749</v>
      </c>
      <c r="K265" s="103">
        <f t="shared" si="29"/>
        <v>255091.40610574093</v>
      </c>
      <c r="L265" s="103">
        <f t="shared" si="30"/>
        <v>250790.24782386047</v>
      </c>
      <c r="M265" s="103">
        <f t="shared" si="31"/>
        <v>4301.15828188046</v>
      </c>
      <c r="N265" s="103">
        <f t="shared" si="32"/>
        <v>15043113.711149801</v>
      </c>
    </row>
    <row r="266" spans="1:14" x14ac:dyDescent="0.25">
      <c r="A266">
        <v>235</v>
      </c>
      <c r="B266" s="112">
        <v>52779</v>
      </c>
      <c r="C266" s="111">
        <f t="shared" si="27"/>
        <v>234394.37538396832</v>
      </c>
      <c r="D266" s="111">
        <f t="shared" si="28"/>
        <v>228813.12325363824</v>
      </c>
      <c r="E266" s="111">
        <f t="shared" si="33"/>
        <v>5581.2521303300746</v>
      </c>
      <c r="F266" s="111">
        <f t="shared" si="34"/>
        <v>14940273.554386709</v>
      </c>
      <c r="J266" s="121">
        <v>52779</v>
      </c>
      <c r="K266" s="103">
        <f t="shared" si="29"/>
        <v>255091.40610574093</v>
      </c>
      <c r="L266" s="103">
        <f t="shared" si="30"/>
        <v>250718.5618524958</v>
      </c>
      <c r="M266" s="103">
        <f t="shared" si="31"/>
        <v>4372.8442532451299</v>
      </c>
      <c r="N266" s="103">
        <f t="shared" si="32"/>
        <v>15038740.866896555</v>
      </c>
    </row>
    <row r="267" spans="1:14" x14ac:dyDescent="0.25">
      <c r="A267">
        <v>236</v>
      </c>
      <c r="B267" s="112">
        <v>52810</v>
      </c>
      <c r="C267" s="111">
        <f t="shared" si="27"/>
        <v>234394.37538396832</v>
      </c>
      <c r="D267" s="111">
        <f t="shared" si="28"/>
        <v>228727.67723879742</v>
      </c>
      <c r="E267" s="111">
        <f t="shared" si="33"/>
        <v>5666.6981451708998</v>
      </c>
      <c r="F267" s="111">
        <f t="shared" si="34"/>
        <v>14934606.856241537</v>
      </c>
      <c r="J267" s="121">
        <v>52810</v>
      </c>
      <c r="K267" s="103">
        <f t="shared" si="29"/>
        <v>255091.40610574093</v>
      </c>
      <c r="L267" s="103">
        <f t="shared" si="30"/>
        <v>250645.68111494169</v>
      </c>
      <c r="M267" s="103">
        <f t="shared" si="31"/>
        <v>4445.7249907992373</v>
      </c>
      <c r="N267" s="103">
        <f t="shared" si="32"/>
        <v>15034295.141905755</v>
      </c>
    </row>
    <row r="268" spans="1:14" x14ac:dyDescent="0.25">
      <c r="A268">
        <v>237</v>
      </c>
      <c r="B268" s="112">
        <v>52841</v>
      </c>
      <c r="C268" s="111">
        <f t="shared" si="27"/>
        <v>234394.37538396832</v>
      </c>
      <c r="D268" s="111">
        <f t="shared" si="28"/>
        <v>228640.92309071301</v>
      </c>
      <c r="E268" s="111">
        <f t="shared" si="33"/>
        <v>5753.4522932553082</v>
      </c>
      <c r="F268" s="111">
        <f t="shared" si="34"/>
        <v>14928853.403948283</v>
      </c>
      <c r="J268" s="121">
        <v>52841</v>
      </c>
      <c r="K268" s="103">
        <f t="shared" si="29"/>
        <v>255091.40610574093</v>
      </c>
      <c r="L268" s="103">
        <f t="shared" si="30"/>
        <v>250571.58569842836</v>
      </c>
      <c r="M268" s="103">
        <f t="shared" si="31"/>
        <v>4519.8204073125671</v>
      </c>
      <c r="N268" s="103">
        <f t="shared" si="32"/>
        <v>15029775.321498442</v>
      </c>
    </row>
    <row r="269" spans="1:14" x14ac:dyDescent="0.25">
      <c r="A269">
        <v>238</v>
      </c>
      <c r="B269" s="112">
        <v>52871</v>
      </c>
      <c r="C269" s="111">
        <f t="shared" si="27"/>
        <v>234394.37538396832</v>
      </c>
      <c r="D269" s="111">
        <f t="shared" si="28"/>
        <v>228552.84078255785</v>
      </c>
      <c r="E269" s="111">
        <f t="shared" si="33"/>
        <v>5841.5346014104725</v>
      </c>
      <c r="F269" s="111">
        <f t="shared" si="34"/>
        <v>14923011.869346872</v>
      </c>
      <c r="J269" s="121">
        <v>52871</v>
      </c>
      <c r="K269" s="103">
        <f t="shared" si="29"/>
        <v>255091.40610574093</v>
      </c>
      <c r="L269" s="103">
        <f t="shared" si="30"/>
        <v>250496.25535830649</v>
      </c>
      <c r="M269" s="103">
        <f t="shared" si="31"/>
        <v>4595.1507474344398</v>
      </c>
      <c r="N269" s="103">
        <f t="shared" si="32"/>
        <v>15025180.170751007</v>
      </c>
    </row>
    <row r="270" spans="1:14" x14ac:dyDescent="0.25">
      <c r="A270">
        <v>239</v>
      </c>
      <c r="B270" s="112">
        <v>52902</v>
      </c>
      <c r="C270" s="111">
        <f t="shared" si="27"/>
        <v>234394.37538396832</v>
      </c>
      <c r="D270" s="111">
        <f t="shared" si="28"/>
        <v>228463.40998090437</v>
      </c>
      <c r="E270" s="111">
        <f t="shared" si="33"/>
        <v>5930.9654030639504</v>
      </c>
      <c r="F270" s="111">
        <f t="shared" si="34"/>
        <v>14917080.903943809</v>
      </c>
      <c r="J270" s="121">
        <v>52902</v>
      </c>
      <c r="K270" s="103">
        <f t="shared" si="29"/>
        <v>255091.40610574093</v>
      </c>
      <c r="L270" s="103">
        <f t="shared" si="30"/>
        <v>250419.66951251589</v>
      </c>
      <c r="M270" s="103">
        <f t="shared" si="31"/>
        <v>4671.7365932250395</v>
      </c>
      <c r="N270" s="103">
        <f t="shared" si="32"/>
        <v>15020508.434157781</v>
      </c>
    </row>
    <row r="271" spans="1:14" x14ac:dyDescent="0.25">
      <c r="A271">
        <v>240</v>
      </c>
      <c r="B271" s="112">
        <v>52932</v>
      </c>
      <c r="C271" s="111">
        <f t="shared" si="27"/>
        <v>234394.37538396832</v>
      </c>
      <c r="D271" s="111">
        <f t="shared" si="28"/>
        <v>228372.61004103126</v>
      </c>
      <c r="E271" s="111">
        <f t="shared" si="33"/>
        <v>6021.7653429370548</v>
      </c>
      <c r="F271" s="111">
        <f t="shared" si="34"/>
        <v>14911059.138600871</v>
      </c>
      <c r="G271" t="s">
        <v>48</v>
      </c>
      <c r="J271" s="121">
        <v>52932</v>
      </c>
      <c r="K271" s="103">
        <f t="shared" si="29"/>
        <v>255091.40610574093</v>
      </c>
      <c r="L271" s="103">
        <f t="shared" si="30"/>
        <v>250341.80723596213</v>
      </c>
      <c r="M271" s="103">
        <f t="shared" si="31"/>
        <v>4749.598869778798</v>
      </c>
      <c r="N271" s="103">
        <f t="shared" si="32"/>
        <v>15015758.835288003</v>
      </c>
    </row>
    <row r="272" spans="1:14" hidden="1" x14ac:dyDescent="0.25">
      <c r="A272">
        <v>241</v>
      </c>
      <c r="B272" s="112">
        <v>52963</v>
      </c>
      <c r="C272" s="111">
        <f t="shared" si="27"/>
        <v>234394.37538396832</v>
      </c>
      <c r="D272" s="111">
        <f t="shared" si="28"/>
        <v>228280.42000215725</v>
      </c>
      <c r="E272" s="111">
        <f t="shared" si="33"/>
        <v>6113.9553818110726</v>
      </c>
      <c r="F272" s="111">
        <f t="shared" si="34"/>
        <v>14904945.18321906</v>
      </c>
      <c r="J272" s="121">
        <v>52963</v>
      </c>
      <c r="K272" s="103">
        <f t="shared" si="29"/>
        <v>255091.40610574093</v>
      </c>
      <c r="L272" s="103">
        <f t="shared" si="30"/>
        <v>250262.64725479917</v>
      </c>
      <c r="M272" s="103">
        <f t="shared" si="31"/>
        <v>4828.7588509417546</v>
      </c>
      <c r="N272" s="103">
        <f t="shared" si="32"/>
        <v>15010930.076437062</v>
      </c>
    </row>
    <row r="273" spans="1:14" hidden="1" x14ac:dyDescent="0.25">
      <c r="A273">
        <v>242</v>
      </c>
      <c r="B273" s="112">
        <v>52994</v>
      </c>
      <c r="C273" s="111">
        <f t="shared" si="27"/>
        <v>234394.37538396832</v>
      </c>
      <c r="D273" s="111">
        <f t="shared" si="28"/>
        <v>228186.81858260275</v>
      </c>
      <c r="E273" s="111">
        <f t="shared" si="33"/>
        <v>6207.556801365572</v>
      </c>
      <c r="F273" s="111">
        <f t="shared" si="34"/>
        <v>14898737.626417695</v>
      </c>
      <c r="J273" s="121">
        <v>52994</v>
      </c>
      <c r="K273" s="103">
        <f t="shared" si="29"/>
        <v>255091.40610574093</v>
      </c>
      <c r="L273" s="103">
        <f t="shared" si="30"/>
        <v>250182.16794061681</v>
      </c>
      <c r="M273" s="103">
        <f t="shared" si="31"/>
        <v>4909.2381651241158</v>
      </c>
      <c r="N273" s="103">
        <f t="shared" si="32"/>
        <v>15006020.838271938</v>
      </c>
    </row>
    <row r="274" spans="1:14" hidden="1" x14ac:dyDescent="0.25">
      <c r="A274">
        <v>243</v>
      </c>
      <c r="B274" s="112">
        <v>53022</v>
      </c>
      <c r="C274" s="111">
        <f t="shared" si="27"/>
        <v>234394.37538396832</v>
      </c>
      <c r="D274" s="111">
        <f t="shared" si="28"/>
        <v>228091.78417487681</v>
      </c>
      <c r="E274" s="111">
        <f t="shared" si="33"/>
        <v>6302.5912090915081</v>
      </c>
      <c r="F274" s="111">
        <f t="shared" si="34"/>
        <v>14892435.035208603</v>
      </c>
      <c r="J274" s="121">
        <v>53022</v>
      </c>
      <c r="K274" s="103">
        <f t="shared" si="29"/>
        <v>255091.40610574093</v>
      </c>
      <c r="L274" s="103">
        <f t="shared" si="30"/>
        <v>250100.3473045314</v>
      </c>
      <c r="M274" s="103">
        <f t="shared" si="31"/>
        <v>4991.058801209525</v>
      </c>
      <c r="N274" s="103">
        <f t="shared" si="32"/>
        <v>15001029.779470729</v>
      </c>
    </row>
    <row r="275" spans="1:14" hidden="1" x14ac:dyDescent="0.25">
      <c r="A275">
        <v>244</v>
      </c>
      <c r="B275" s="112">
        <v>53053</v>
      </c>
      <c r="C275" s="111">
        <f t="shared" si="27"/>
        <v>234394.37538396832</v>
      </c>
      <c r="D275" s="111">
        <f t="shared" si="28"/>
        <v>227995.29484068937</v>
      </c>
      <c r="E275" s="111">
        <f t="shared" si="33"/>
        <v>6399.0805432789493</v>
      </c>
      <c r="F275" s="111">
        <f t="shared" si="34"/>
        <v>14886035.954665324</v>
      </c>
      <c r="J275" s="121">
        <v>53053</v>
      </c>
      <c r="K275" s="103">
        <f t="shared" si="29"/>
        <v>255091.40610574093</v>
      </c>
      <c r="L275" s="103">
        <f t="shared" si="30"/>
        <v>250017.16299117793</v>
      </c>
      <c r="M275" s="103">
        <f t="shared" si="31"/>
        <v>5074.2431145629962</v>
      </c>
      <c r="N275" s="103">
        <f t="shared" si="32"/>
        <v>14995955.536356166</v>
      </c>
    </row>
    <row r="276" spans="1:14" hidden="1" x14ac:dyDescent="0.25">
      <c r="A276">
        <v>245</v>
      </c>
      <c r="B276" s="112">
        <v>53083</v>
      </c>
      <c r="C276" s="111">
        <f t="shared" si="27"/>
        <v>234394.37538396832</v>
      </c>
      <c r="D276" s="111">
        <f t="shared" si="28"/>
        <v>227897.32830588662</v>
      </c>
      <c r="E276" s="111">
        <f t="shared" si="33"/>
        <v>6497.0470780816977</v>
      </c>
      <c r="F276" s="111">
        <f t="shared" si="34"/>
        <v>14879538.907587241</v>
      </c>
      <c r="J276" s="121">
        <v>53083</v>
      </c>
      <c r="K276" s="103">
        <f t="shared" si="29"/>
        <v>255091.40610574093</v>
      </c>
      <c r="L276" s="103">
        <f t="shared" si="30"/>
        <v>249932.59227260188</v>
      </c>
      <c r="M276" s="103">
        <f t="shared" si="31"/>
        <v>5158.813833139051</v>
      </c>
      <c r="N276" s="103">
        <f t="shared" si="32"/>
        <v>14990796.722523026</v>
      </c>
    </row>
    <row r="277" spans="1:14" hidden="1" x14ac:dyDescent="0.25">
      <c r="A277">
        <v>246</v>
      </c>
      <c r="B277" s="112">
        <v>53114</v>
      </c>
      <c r="C277" s="111">
        <f t="shared" si="27"/>
        <v>234394.37538396832</v>
      </c>
      <c r="D277" s="111">
        <f t="shared" si="28"/>
        <v>227797.86195530937</v>
      </c>
      <c r="E277" s="111">
        <f t="shared" si="33"/>
        <v>6596.5134286589455</v>
      </c>
      <c r="F277" s="111">
        <f t="shared" si="34"/>
        <v>14872942.394158583</v>
      </c>
      <c r="J277" s="121">
        <v>53114</v>
      </c>
      <c r="K277" s="103">
        <f t="shared" si="29"/>
        <v>255091.40610574093</v>
      </c>
      <c r="L277" s="103">
        <f t="shared" si="30"/>
        <v>249846.61204204956</v>
      </c>
      <c r="M277" s="103">
        <f t="shared" si="31"/>
        <v>5244.79406369137</v>
      </c>
      <c r="N277" s="103">
        <f t="shared" si="32"/>
        <v>14985551.928459335</v>
      </c>
    </row>
    <row r="278" spans="1:14" hidden="1" x14ac:dyDescent="0.25">
      <c r="A278">
        <v>247</v>
      </c>
      <c r="B278" s="112">
        <v>53144</v>
      </c>
      <c r="C278" s="111">
        <f t="shared" si="27"/>
        <v>234394.37538396832</v>
      </c>
      <c r="D278" s="111">
        <f t="shared" si="28"/>
        <v>227696.87282757225</v>
      </c>
      <c r="E278" s="111">
        <f t="shared" si="33"/>
        <v>6697.5025563960662</v>
      </c>
      <c r="F278" s="111">
        <f t="shared" si="34"/>
        <v>14866244.891602186</v>
      </c>
      <c r="J278" s="121">
        <v>53144</v>
      </c>
      <c r="K278" s="103">
        <f t="shared" si="29"/>
        <v>255091.40610574093</v>
      </c>
      <c r="L278" s="103">
        <f t="shared" si="30"/>
        <v>249759.1988076547</v>
      </c>
      <c r="M278" s="103">
        <f t="shared" si="31"/>
        <v>5332.2072980862285</v>
      </c>
      <c r="N278" s="103">
        <f t="shared" si="32"/>
        <v>14980219.721161248</v>
      </c>
    </row>
    <row r="279" spans="1:14" hidden="1" x14ac:dyDescent="0.25">
      <c r="A279">
        <v>248</v>
      </c>
      <c r="B279" s="112">
        <v>53175</v>
      </c>
      <c r="C279" s="111">
        <f t="shared" si="27"/>
        <v>234394.37538396832</v>
      </c>
      <c r="D279" s="111">
        <f t="shared" si="28"/>
        <v>227594.33760976323</v>
      </c>
      <c r="E279" s="111">
        <f t="shared" si="33"/>
        <v>6800.0377742050914</v>
      </c>
      <c r="F279" s="111">
        <f t="shared" si="34"/>
        <v>14859444.853827981</v>
      </c>
      <c r="J279" s="121">
        <v>53175</v>
      </c>
      <c r="K279" s="103">
        <f t="shared" si="29"/>
        <v>255091.40610574093</v>
      </c>
      <c r="L279" s="103">
        <f t="shared" si="30"/>
        <v>249670.32868601993</v>
      </c>
      <c r="M279" s="103">
        <f t="shared" si="31"/>
        <v>5421.0774197209976</v>
      </c>
      <c r="N279" s="103">
        <f t="shared" si="32"/>
        <v>14974798.643741528</v>
      </c>
    </row>
    <row r="280" spans="1:14" hidden="1" x14ac:dyDescent="0.25">
      <c r="A280">
        <v>249</v>
      </c>
      <c r="B280" s="112">
        <v>53206</v>
      </c>
      <c r="C280" s="111">
        <f t="shared" si="27"/>
        <v>234394.37538396832</v>
      </c>
      <c r="D280" s="111">
        <f t="shared" si="28"/>
        <v>227490.23263206196</v>
      </c>
      <c r="E280" s="111">
        <f t="shared" si="33"/>
        <v>6904.1427519063582</v>
      </c>
      <c r="F280" s="111">
        <f t="shared" si="34"/>
        <v>14852540.711076075</v>
      </c>
      <c r="J280" s="121">
        <v>53206</v>
      </c>
      <c r="K280" s="103">
        <f t="shared" si="29"/>
        <v>255091.40610574093</v>
      </c>
      <c r="L280" s="103">
        <f t="shared" si="30"/>
        <v>249579.97739569124</v>
      </c>
      <c r="M280" s="103">
        <f t="shared" si="31"/>
        <v>5511.4287100496877</v>
      </c>
      <c r="N280" s="103">
        <f t="shared" si="32"/>
        <v>14969287.215031479</v>
      </c>
    </row>
    <row r="281" spans="1:14" hidden="1" x14ac:dyDescent="0.25">
      <c r="A281">
        <v>250</v>
      </c>
      <c r="B281" s="112">
        <v>53236</v>
      </c>
      <c r="C281" s="111">
        <f t="shared" si="27"/>
        <v>234394.37538396832</v>
      </c>
      <c r="D281" s="111">
        <f t="shared" si="28"/>
        <v>227384.53386227571</v>
      </c>
      <c r="E281" s="111">
        <f t="shared" si="33"/>
        <v>7009.8415216926078</v>
      </c>
      <c r="F281" s="111">
        <f t="shared" si="34"/>
        <v>14845530.869554382</v>
      </c>
      <c r="J281" s="121">
        <v>53236</v>
      </c>
      <c r="K281" s="103">
        <f t="shared" si="29"/>
        <v>255091.40610574093</v>
      </c>
      <c r="L281" s="103">
        <f t="shared" si="30"/>
        <v>249488.12025052376</v>
      </c>
      <c r="M281" s="103">
        <f t="shared" si="31"/>
        <v>5603.2858552171674</v>
      </c>
      <c r="N281" s="103">
        <f t="shared" si="32"/>
        <v>14963683.929176262</v>
      </c>
    </row>
    <row r="282" spans="1:14" hidden="1" x14ac:dyDescent="0.25">
      <c r="A282">
        <v>251</v>
      </c>
      <c r="B282" s="112">
        <v>53267</v>
      </c>
      <c r="C282" s="111">
        <f t="shared" si="27"/>
        <v>234394.37538396832</v>
      </c>
      <c r="D282" s="111">
        <f t="shared" si="28"/>
        <v>227277.21690029156</v>
      </c>
      <c r="E282" s="111">
        <f t="shared" si="33"/>
        <v>7117.1584836767579</v>
      </c>
      <c r="F282" s="111">
        <f t="shared" si="34"/>
        <v>14838413.711070705</v>
      </c>
      <c r="J282" s="121">
        <v>53267</v>
      </c>
      <c r="K282" s="103">
        <f t="shared" si="29"/>
        <v>255091.40610574093</v>
      </c>
      <c r="L282" s="103">
        <f t="shared" si="30"/>
        <v>249394.73215293681</v>
      </c>
      <c r="M282" s="103">
        <f t="shared" si="31"/>
        <v>5696.6739528041217</v>
      </c>
      <c r="N282" s="103">
        <f t="shared" si="32"/>
        <v>14957987.255223457</v>
      </c>
    </row>
    <row r="283" spans="1:14" hidden="1" x14ac:dyDescent="0.25">
      <c r="A283">
        <v>252</v>
      </c>
      <c r="B283" s="112">
        <v>53297</v>
      </c>
      <c r="C283" s="111">
        <f t="shared" si="27"/>
        <v>234394.37538396832</v>
      </c>
      <c r="D283" s="111">
        <f t="shared" si="28"/>
        <v>227168.25697244381</v>
      </c>
      <c r="E283" s="111">
        <f t="shared" si="33"/>
        <v>7226.1184115245123</v>
      </c>
      <c r="F283" s="111">
        <f t="shared" si="34"/>
        <v>14831187.592659181</v>
      </c>
      <c r="J283" s="121">
        <v>53297</v>
      </c>
      <c r="K283" s="103">
        <f t="shared" si="29"/>
        <v>255091.40610574093</v>
      </c>
      <c r="L283" s="103">
        <f t="shared" si="30"/>
        <v>249299.78758705672</v>
      </c>
      <c r="M283" s="103">
        <f t="shared" si="31"/>
        <v>5791.6185186842049</v>
      </c>
      <c r="N283" s="103">
        <f t="shared" si="32"/>
        <v>14952195.636704773</v>
      </c>
    </row>
    <row r="284" spans="1:14" hidden="1" x14ac:dyDescent="0.25">
      <c r="A284">
        <v>253</v>
      </c>
      <c r="B284" s="112">
        <v>53328</v>
      </c>
      <c r="C284" s="111">
        <f t="shared" si="27"/>
        <v>234394.37538396832</v>
      </c>
      <c r="D284" s="111">
        <f t="shared" si="28"/>
        <v>227057.62892579503</v>
      </c>
      <c r="E284" s="111">
        <f t="shared" si="33"/>
        <v>7336.7464581732929</v>
      </c>
      <c r="F284" s="111">
        <f t="shared" si="34"/>
        <v>14823850.846201008</v>
      </c>
      <c r="J284" s="121">
        <v>53328</v>
      </c>
      <c r="K284" s="103">
        <f t="shared" si="29"/>
        <v>255091.40610574093</v>
      </c>
      <c r="L284" s="103">
        <f t="shared" si="30"/>
        <v>249203.26061174533</v>
      </c>
      <c r="M284" s="103">
        <f t="shared" si="31"/>
        <v>5888.145493995602</v>
      </c>
      <c r="N284" s="103">
        <f t="shared" si="32"/>
        <v>14946307.491210777</v>
      </c>
    </row>
    <row r="285" spans="1:14" hidden="1" x14ac:dyDescent="0.25">
      <c r="A285">
        <v>254</v>
      </c>
      <c r="B285" s="112">
        <v>53359</v>
      </c>
      <c r="C285" s="111">
        <f t="shared" si="27"/>
        <v>234394.37538396832</v>
      </c>
      <c r="D285" s="111">
        <f t="shared" si="28"/>
        <v>226945.3072223296</v>
      </c>
      <c r="E285" s="111">
        <f t="shared" si="33"/>
        <v>7449.0681616387155</v>
      </c>
      <c r="F285" s="111">
        <f t="shared" si="34"/>
        <v>14816401.77803937</v>
      </c>
      <c r="J285" s="121">
        <v>53359</v>
      </c>
      <c r="K285" s="103">
        <f t="shared" si="29"/>
        <v>255091.40610574093</v>
      </c>
      <c r="L285" s="103">
        <f t="shared" si="30"/>
        <v>249105.12485351207</v>
      </c>
      <c r="M285" s="103">
        <f t="shared" si="31"/>
        <v>5986.2812522288586</v>
      </c>
      <c r="N285" s="103">
        <f t="shared" si="32"/>
        <v>14940321.209958548</v>
      </c>
    </row>
    <row r="286" spans="1:14" hidden="1" x14ac:dyDescent="0.25">
      <c r="A286">
        <v>255</v>
      </c>
      <c r="B286" s="112">
        <v>53387</v>
      </c>
      <c r="C286" s="111">
        <f t="shared" si="27"/>
        <v>234394.37538396832</v>
      </c>
      <c r="D286" s="111">
        <f t="shared" si="28"/>
        <v>226831.26593305852</v>
      </c>
      <c r="E286" s="111">
        <f t="shared" si="33"/>
        <v>7563.1094509098039</v>
      </c>
      <c r="F286" s="111">
        <f t="shared" si="34"/>
        <v>14808838.668588459</v>
      </c>
      <c r="J286" s="121">
        <v>53387</v>
      </c>
      <c r="K286" s="103">
        <f t="shared" si="29"/>
        <v>255091.40610574093</v>
      </c>
      <c r="L286" s="103">
        <f t="shared" si="30"/>
        <v>249005.35349930826</v>
      </c>
      <c r="M286" s="103">
        <f t="shared" si="31"/>
        <v>6086.0526064326696</v>
      </c>
      <c r="N286" s="103">
        <f t="shared" si="32"/>
        <v>14934235.157352116</v>
      </c>
    </row>
    <row r="287" spans="1:14" hidden="1" x14ac:dyDescent="0.25">
      <c r="A287">
        <v>256</v>
      </c>
      <c r="B287" s="112">
        <v>53418</v>
      </c>
      <c r="C287" s="111">
        <f t="shared" si="27"/>
        <v>234394.37538396832</v>
      </c>
      <c r="D287" s="111">
        <f t="shared" si="28"/>
        <v>226715.47873203357</v>
      </c>
      <c r="E287" s="111">
        <f t="shared" si="33"/>
        <v>7678.896651934745</v>
      </c>
      <c r="F287" s="111">
        <f t="shared" si="34"/>
        <v>14801159.771936525</v>
      </c>
      <c r="J287" s="121">
        <v>53418</v>
      </c>
      <c r="K287" s="103">
        <f t="shared" si="29"/>
        <v>255091.40610574093</v>
      </c>
      <c r="L287" s="103">
        <f t="shared" si="30"/>
        <v>248903.91928920106</v>
      </c>
      <c r="M287" s="103">
        <f t="shared" si="31"/>
        <v>6187.4868165398657</v>
      </c>
      <c r="N287" s="103">
        <f t="shared" si="32"/>
        <v>14928047.670535576</v>
      </c>
    </row>
    <row r="288" spans="1:14" hidden="1" x14ac:dyDescent="0.25">
      <c r="A288">
        <v>257</v>
      </c>
      <c r="B288" s="112">
        <v>53448</v>
      </c>
      <c r="C288" s="111">
        <f t="shared" ref="C288:C351" si="35">x</f>
        <v>234394.37538396832</v>
      </c>
      <c r="D288" s="111">
        <f t="shared" ref="D288:D351" si="36">F287*((1+ANNUAL_INTEREST_RATE)^(1/12)-1)</f>
        <v>226597.91889027029</v>
      </c>
      <c r="E288" s="111">
        <f t="shared" si="33"/>
        <v>7796.4564936980314</v>
      </c>
      <c r="F288" s="111">
        <f t="shared" si="34"/>
        <v>14793363.315442827</v>
      </c>
      <c r="J288" s="121">
        <v>53448</v>
      </c>
      <c r="K288" s="103">
        <f t="shared" si="29"/>
        <v>255091.40610574093</v>
      </c>
      <c r="L288" s="103">
        <f t="shared" si="30"/>
        <v>248800.79450892538</v>
      </c>
      <c r="M288" s="103">
        <f t="shared" si="31"/>
        <v>6290.61159681555</v>
      </c>
      <c r="N288" s="103">
        <f t="shared" si="32"/>
        <v>14921757.05893876</v>
      </c>
    </row>
    <row r="289" spans="1:14" hidden="1" x14ac:dyDescent="0.25">
      <c r="A289">
        <v>258</v>
      </c>
      <c r="B289" s="112">
        <v>53479</v>
      </c>
      <c r="C289" s="111">
        <f t="shared" si="35"/>
        <v>234394.37538396832</v>
      </c>
      <c r="D289" s="111">
        <f t="shared" si="36"/>
        <v>226478.55926957758</v>
      </c>
      <c r="E289" s="111">
        <f t="shared" si="33"/>
        <v>7915.8161143907346</v>
      </c>
      <c r="F289" s="111">
        <f t="shared" si="34"/>
        <v>14785447.499328436</v>
      </c>
      <c r="J289" s="121">
        <v>53479</v>
      </c>
      <c r="K289" s="103">
        <f t="shared" ref="K289:K352" si="37">$L$23</f>
        <v>255091.40610574093</v>
      </c>
      <c r="L289" s="103">
        <f t="shared" ref="L289:L352" si="38">N288*((1+$L$5)^(1/12)-1)</f>
        <v>248695.9509823118</v>
      </c>
      <c r="M289" s="103">
        <f t="shared" ref="M289:M352" si="39">K289-L289</f>
        <v>6395.4551234291284</v>
      </c>
      <c r="N289" s="103">
        <f t="shared" ref="N289:N352" si="40">N288-M289</f>
        <v>14915361.603815332</v>
      </c>
    </row>
    <row r="290" spans="1:14" hidden="1" x14ac:dyDescent="0.25">
      <c r="A290">
        <v>259</v>
      </c>
      <c r="B290" s="112">
        <v>53509</v>
      </c>
      <c r="C290" s="111">
        <f t="shared" si="35"/>
        <v>234394.37538396832</v>
      </c>
      <c r="D290" s="111">
        <f t="shared" si="36"/>
        <v>226357.37231629304</v>
      </c>
      <c r="E290" s="111">
        <f t="shared" si="33"/>
        <v>8037.0030676752795</v>
      </c>
      <c r="F290" s="111">
        <f t="shared" si="34"/>
        <v>14777410.49626076</v>
      </c>
      <c r="J290" s="121">
        <v>53509</v>
      </c>
      <c r="K290" s="103">
        <f t="shared" si="37"/>
        <v>255091.40610574093</v>
      </c>
      <c r="L290" s="103">
        <f t="shared" si="38"/>
        <v>248589.36006358798</v>
      </c>
      <c r="M290" s="103">
        <f t="shared" si="39"/>
        <v>6502.0460421529424</v>
      </c>
      <c r="N290" s="103">
        <f t="shared" si="40"/>
        <v>14908859.557773178</v>
      </c>
    </row>
    <row r="291" spans="1:14" hidden="1" x14ac:dyDescent="0.25">
      <c r="A291">
        <v>260</v>
      </c>
      <c r="B291" s="112">
        <v>53540</v>
      </c>
      <c r="C291" s="111">
        <f t="shared" si="35"/>
        <v>234394.37538396832</v>
      </c>
      <c r="D291" s="111">
        <f t="shared" si="36"/>
        <v>226234.3300549222</v>
      </c>
      <c r="E291" s="111">
        <f t="shared" si="33"/>
        <v>8160.0453290461155</v>
      </c>
      <c r="F291" s="111">
        <f t="shared" si="34"/>
        <v>14769250.450931715</v>
      </c>
      <c r="J291" s="121">
        <v>53540</v>
      </c>
      <c r="K291" s="103">
        <f t="shared" si="37"/>
        <v>255091.40610574093</v>
      </c>
      <c r="L291" s="103">
        <f t="shared" si="38"/>
        <v>248480.99262955209</v>
      </c>
      <c r="M291" s="103">
        <f t="shared" si="39"/>
        <v>6610.4134761888417</v>
      </c>
      <c r="N291" s="103">
        <f t="shared" si="40"/>
        <v>14902249.144296989</v>
      </c>
    </row>
    <row r="292" spans="1:14" hidden="1" x14ac:dyDescent="0.25">
      <c r="A292">
        <v>261</v>
      </c>
      <c r="B292" s="112">
        <v>53571</v>
      </c>
      <c r="C292" s="111">
        <f t="shared" si="35"/>
        <v>234394.37538396832</v>
      </c>
      <c r="D292" s="111">
        <f t="shared" si="36"/>
        <v>226109.4040816807</v>
      </c>
      <c r="E292" s="111">
        <f t="shared" ref="E292:E355" si="41">C292-D292</f>
        <v>8284.971302287624</v>
      </c>
      <c r="F292" s="111">
        <f t="shared" ref="F292:F355" si="42">F291-E292</f>
        <v>14760965.479629427</v>
      </c>
      <c r="J292" s="121">
        <v>53571</v>
      </c>
      <c r="K292" s="103">
        <f t="shared" si="37"/>
        <v>255091.40610574093</v>
      </c>
      <c r="L292" s="103">
        <f t="shared" si="38"/>
        <v>248370.81907161561</v>
      </c>
      <c r="M292" s="103">
        <f t="shared" si="39"/>
        <v>6720.5870341253176</v>
      </c>
      <c r="N292" s="103">
        <f t="shared" si="40"/>
        <v>14895528.557262864</v>
      </c>
    </row>
    <row r="293" spans="1:14" hidden="1" x14ac:dyDescent="0.25">
      <c r="A293">
        <v>262</v>
      </c>
      <c r="B293" s="112">
        <v>53601</v>
      </c>
      <c r="C293" s="111">
        <f t="shared" si="35"/>
        <v>234394.37538396832</v>
      </c>
      <c r="D293" s="111">
        <f t="shared" si="36"/>
        <v>225982.5655579372</v>
      </c>
      <c r="E293" s="111">
        <f t="shared" si="41"/>
        <v>8411.8098260311235</v>
      </c>
      <c r="F293" s="111">
        <f t="shared" si="42"/>
        <v>14752553.669803396</v>
      </c>
      <c r="J293" s="121">
        <v>53601</v>
      </c>
      <c r="K293" s="103">
        <f t="shared" si="37"/>
        <v>255091.40610574093</v>
      </c>
      <c r="L293" s="103">
        <f t="shared" si="38"/>
        <v>248258.80928771352</v>
      </c>
      <c r="M293" s="103">
        <f t="shared" si="39"/>
        <v>6832.5968180274067</v>
      </c>
      <c r="N293" s="103">
        <f t="shared" si="40"/>
        <v>14888695.960444836</v>
      </c>
    </row>
    <row r="294" spans="1:14" hidden="1" x14ac:dyDescent="0.25">
      <c r="A294">
        <v>263</v>
      </c>
      <c r="B294" s="112">
        <v>53632</v>
      </c>
      <c r="C294" s="111">
        <f t="shared" si="35"/>
        <v>234394.37538396832</v>
      </c>
      <c r="D294" s="111">
        <f t="shared" si="36"/>
        <v>225853.78520355624</v>
      </c>
      <c r="E294" s="111">
        <f t="shared" si="41"/>
        <v>8540.5901804120804</v>
      </c>
      <c r="F294" s="111">
        <f t="shared" si="42"/>
        <v>14744013.079622984</v>
      </c>
      <c r="J294" s="121">
        <v>53632</v>
      </c>
      <c r="K294" s="103">
        <f t="shared" si="37"/>
        <v>255091.40610574093</v>
      </c>
      <c r="L294" s="103">
        <f t="shared" si="38"/>
        <v>248144.93267407973</v>
      </c>
      <c r="M294" s="103">
        <f t="shared" si="39"/>
        <v>6946.4734316612012</v>
      </c>
      <c r="N294" s="103">
        <f t="shared" si="40"/>
        <v>14881749.487013174</v>
      </c>
    </row>
    <row r="295" spans="1:14" hidden="1" x14ac:dyDescent="0.25">
      <c r="A295">
        <v>264</v>
      </c>
      <c r="B295" s="112">
        <v>53662</v>
      </c>
      <c r="C295" s="111">
        <f t="shared" si="35"/>
        <v>234394.37538396832</v>
      </c>
      <c r="D295" s="111">
        <f t="shared" si="36"/>
        <v>225723.03329013893</v>
      </c>
      <c r="E295" s="111">
        <f t="shared" si="41"/>
        <v>8671.3420938293857</v>
      </c>
      <c r="F295" s="111">
        <f t="shared" si="42"/>
        <v>14735341.737529155</v>
      </c>
      <c r="J295" s="121">
        <v>53662</v>
      </c>
      <c r="K295" s="103">
        <f t="shared" si="37"/>
        <v>255091.40610574093</v>
      </c>
      <c r="L295" s="103">
        <f t="shared" si="38"/>
        <v>248029.15811688534</v>
      </c>
      <c r="M295" s="103">
        <f t="shared" si="39"/>
        <v>7062.2479888555827</v>
      </c>
      <c r="N295" s="103">
        <f t="shared" si="40"/>
        <v>14874687.239024319</v>
      </c>
    </row>
    <row r="296" spans="1:14" hidden="1" x14ac:dyDescent="0.25">
      <c r="A296">
        <v>265</v>
      </c>
      <c r="B296" s="112">
        <v>53693</v>
      </c>
      <c r="C296" s="111">
        <f t="shared" si="35"/>
        <v>234394.37538396832</v>
      </c>
      <c r="D296" s="111">
        <f t="shared" si="36"/>
        <v>225590.27963416037</v>
      </c>
      <c r="E296" s="111">
        <f t="shared" si="41"/>
        <v>8804.0957498079515</v>
      </c>
      <c r="F296" s="111">
        <f t="shared" si="42"/>
        <v>14726537.641779346</v>
      </c>
      <c r="J296" s="121">
        <v>53693</v>
      </c>
      <c r="K296" s="103">
        <f t="shared" si="37"/>
        <v>255091.40610574093</v>
      </c>
      <c r="L296" s="103">
        <f t="shared" si="38"/>
        <v>247911.45398373777</v>
      </c>
      <c r="M296" s="103">
        <f t="shared" si="39"/>
        <v>7179.9521220031602</v>
      </c>
      <c r="N296" s="103">
        <f t="shared" si="40"/>
        <v>14867507.286902316</v>
      </c>
    </row>
    <row r="297" spans="1:14" hidden="1" x14ac:dyDescent="0.25">
      <c r="A297">
        <v>266</v>
      </c>
      <c r="B297" s="112">
        <v>53724</v>
      </c>
      <c r="C297" s="111">
        <f t="shared" si="35"/>
        <v>234394.37538396832</v>
      </c>
      <c r="D297" s="111">
        <f t="shared" si="36"/>
        <v>225455.49359000186</v>
      </c>
      <c r="E297" s="111">
        <f t="shared" si="41"/>
        <v>8938.8817939664586</v>
      </c>
      <c r="F297" s="111">
        <f t="shared" si="42"/>
        <v>14717598.75998538</v>
      </c>
      <c r="J297" s="121">
        <v>53724</v>
      </c>
      <c r="K297" s="103">
        <f t="shared" si="37"/>
        <v>255091.40610574093</v>
      </c>
      <c r="L297" s="103">
        <f t="shared" si="38"/>
        <v>247791.78811503772</v>
      </c>
      <c r="M297" s="103">
        <f t="shared" si="39"/>
        <v>7299.6179907032056</v>
      </c>
      <c r="N297" s="103">
        <f t="shared" si="40"/>
        <v>14860207.668911614</v>
      </c>
    </row>
    <row r="298" spans="1:14" hidden="1" x14ac:dyDescent="0.25">
      <c r="A298">
        <v>267</v>
      </c>
      <c r="B298" s="112">
        <v>53752</v>
      </c>
      <c r="C298" s="111">
        <f t="shared" si="35"/>
        <v>234394.37538396832</v>
      </c>
      <c r="D298" s="111">
        <f t="shared" si="36"/>
        <v>225318.64404287655</v>
      </c>
      <c r="E298" s="111">
        <f t="shared" si="41"/>
        <v>9075.7313410917704</v>
      </c>
      <c r="F298" s="111">
        <f t="shared" si="42"/>
        <v>14708523.028644288</v>
      </c>
      <c r="J298" s="121">
        <v>53752</v>
      </c>
      <c r="K298" s="103">
        <f t="shared" si="37"/>
        <v>255091.40610574093</v>
      </c>
      <c r="L298" s="103">
        <f t="shared" si="38"/>
        <v>247670.12781519268</v>
      </c>
      <c r="M298" s="103">
        <f t="shared" si="39"/>
        <v>7421.2782905482454</v>
      </c>
      <c r="N298" s="103">
        <f t="shared" si="40"/>
        <v>14852786.390621066</v>
      </c>
    </row>
    <row r="299" spans="1:14" hidden="1" x14ac:dyDescent="0.25">
      <c r="A299">
        <v>268</v>
      </c>
      <c r="B299" s="112">
        <v>53783</v>
      </c>
      <c r="C299" s="111">
        <f t="shared" si="35"/>
        <v>234394.37538396832</v>
      </c>
      <c r="D299" s="111">
        <f t="shared" si="36"/>
        <v>225179.69940164662</v>
      </c>
      <c r="E299" s="111">
        <f t="shared" si="41"/>
        <v>9214.6759823216998</v>
      </c>
      <c r="F299" s="111">
        <f t="shared" si="42"/>
        <v>14699308.352661965</v>
      </c>
      <c r="J299" s="121">
        <v>53783</v>
      </c>
      <c r="K299" s="103">
        <f t="shared" si="37"/>
        <v>255091.40610574093</v>
      </c>
      <c r="L299" s="103">
        <f t="shared" si="38"/>
        <v>247546.43984368356</v>
      </c>
      <c r="M299" s="103">
        <f t="shared" si="39"/>
        <v>7544.9662620573654</v>
      </c>
      <c r="N299" s="103">
        <f t="shared" si="40"/>
        <v>14845241.424359009</v>
      </c>
    </row>
    <row r="300" spans="1:14" hidden="1" x14ac:dyDescent="0.25">
      <c r="A300">
        <v>269</v>
      </c>
      <c r="B300" s="112">
        <v>53813</v>
      </c>
      <c r="C300" s="111">
        <f t="shared" si="35"/>
        <v>234394.37538396832</v>
      </c>
      <c r="D300" s="111">
        <f t="shared" si="36"/>
        <v>225038.62759153068</v>
      </c>
      <c r="E300" s="111">
        <f t="shared" si="41"/>
        <v>9355.7477924376435</v>
      </c>
      <c r="F300" s="111">
        <f t="shared" si="42"/>
        <v>14689952.604869528</v>
      </c>
      <c r="J300" s="121">
        <v>53813</v>
      </c>
      <c r="K300" s="103">
        <f t="shared" si="37"/>
        <v>255091.40610574093</v>
      </c>
      <c r="L300" s="103">
        <f t="shared" si="38"/>
        <v>247420.6904059826</v>
      </c>
      <c r="M300" s="103">
        <f t="shared" si="39"/>
        <v>7670.7156997583224</v>
      </c>
      <c r="N300" s="103">
        <f t="shared" si="40"/>
        <v>14837570.70865925</v>
      </c>
    </row>
    <row r="301" spans="1:14" hidden="1" x14ac:dyDescent="0.25">
      <c r="A301">
        <v>270</v>
      </c>
      <c r="B301" s="112">
        <v>53844</v>
      </c>
      <c r="C301" s="111">
        <f t="shared" si="35"/>
        <v>234394.37538396832</v>
      </c>
      <c r="D301" s="111">
        <f t="shared" si="36"/>
        <v>224895.39604669943</v>
      </c>
      <c r="E301" s="111">
        <f t="shared" si="41"/>
        <v>9498.9793372688873</v>
      </c>
      <c r="F301" s="111">
        <f t="shared" si="42"/>
        <v>14680453.625532258</v>
      </c>
      <c r="J301" s="121">
        <v>53844</v>
      </c>
      <c r="K301" s="103">
        <f t="shared" si="37"/>
        <v>255091.40610574093</v>
      </c>
      <c r="L301" s="103">
        <f t="shared" si="38"/>
        <v>247292.84514431996</v>
      </c>
      <c r="M301" s="103">
        <f t="shared" si="39"/>
        <v>7798.5609614209679</v>
      </c>
      <c r="N301" s="103">
        <f t="shared" si="40"/>
        <v>14829772.147697829</v>
      </c>
    </row>
    <row r="302" spans="1:14" hidden="1" x14ac:dyDescent="0.25">
      <c r="A302">
        <v>271</v>
      </c>
      <c r="B302" s="112">
        <v>53874</v>
      </c>
      <c r="C302" s="111">
        <f t="shared" si="35"/>
        <v>234394.37538396832</v>
      </c>
      <c r="D302" s="111">
        <f t="shared" si="36"/>
        <v>224749.97170275793</v>
      </c>
      <c r="E302" s="111">
        <f t="shared" si="41"/>
        <v>9644.4036812103877</v>
      </c>
      <c r="F302" s="111">
        <f t="shared" si="42"/>
        <v>14670809.221851047</v>
      </c>
      <c r="J302" s="121">
        <v>53874</v>
      </c>
      <c r="K302" s="103">
        <f t="shared" si="37"/>
        <v>255091.40610574093</v>
      </c>
      <c r="L302" s="103">
        <f t="shared" si="38"/>
        <v>247162.86912829627</v>
      </c>
      <c r="M302" s="103">
        <f t="shared" si="39"/>
        <v>7928.536977444659</v>
      </c>
      <c r="N302" s="103">
        <f t="shared" si="40"/>
        <v>14821843.610720385</v>
      </c>
    </row>
    <row r="303" spans="1:14" hidden="1" x14ac:dyDescent="0.25">
      <c r="A303">
        <v>272</v>
      </c>
      <c r="B303" s="112">
        <v>53905</v>
      </c>
      <c r="C303" s="111">
        <f t="shared" si="35"/>
        <v>234394.37538396832</v>
      </c>
      <c r="D303" s="111">
        <f t="shared" si="36"/>
        <v>224602.32098911295</v>
      </c>
      <c r="E303" s="111">
        <f t="shared" si="41"/>
        <v>9792.0543948553677</v>
      </c>
      <c r="F303" s="111">
        <f t="shared" si="42"/>
        <v>14661017.167456191</v>
      </c>
      <c r="J303" s="121">
        <v>53905</v>
      </c>
      <c r="K303" s="103">
        <f t="shared" si="37"/>
        <v>255091.40610574093</v>
      </c>
      <c r="L303" s="103">
        <f t="shared" si="38"/>
        <v>247030.72684533888</v>
      </c>
      <c r="M303" s="103">
        <f t="shared" si="39"/>
        <v>8060.6792604020447</v>
      </c>
      <c r="N303" s="103">
        <f t="shared" si="40"/>
        <v>14813782.931459982</v>
      </c>
    </row>
    <row r="304" spans="1:14" hidden="1" x14ac:dyDescent="0.25">
      <c r="A304">
        <v>273</v>
      </c>
      <c r="B304" s="112">
        <v>53936</v>
      </c>
      <c r="C304" s="111">
        <f t="shared" si="35"/>
        <v>234394.37538396832</v>
      </c>
      <c r="D304" s="111">
        <f t="shared" si="36"/>
        <v>224452.40982122312</v>
      </c>
      <c r="E304" s="111">
        <f t="shared" si="41"/>
        <v>9941.9655627452012</v>
      </c>
      <c r="F304" s="111">
        <f t="shared" si="42"/>
        <v>14651075.201893445</v>
      </c>
      <c r="J304" s="121">
        <v>53936</v>
      </c>
      <c r="K304" s="103">
        <f t="shared" si="37"/>
        <v>255091.40610574093</v>
      </c>
      <c r="L304" s="103">
        <f t="shared" si="38"/>
        <v>246896.38219099882</v>
      </c>
      <c r="M304" s="103">
        <f t="shared" si="39"/>
        <v>8195.0239147421089</v>
      </c>
      <c r="N304" s="103">
        <f t="shared" si="40"/>
        <v>14805587.907545241</v>
      </c>
    </row>
    <row r="305" spans="1:14" hidden="1" x14ac:dyDescent="0.25">
      <c r="A305">
        <v>274</v>
      </c>
      <c r="B305" s="112">
        <v>53966</v>
      </c>
      <c r="C305" s="111">
        <f t="shared" si="35"/>
        <v>234394.37538396832</v>
      </c>
      <c r="D305" s="111">
        <f t="shared" si="36"/>
        <v>224300.20359273092</v>
      </c>
      <c r="E305" s="111">
        <f t="shared" si="41"/>
        <v>10094.171791237401</v>
      </c>
      <c r="F305" s="111">
        <f t="shared" si="42"/>
        <v>14640981.030102208</v>
      </c>
      <c r="J305" s="121">
        <v>53966</v>
      </c>
      <c r="K305" s="103">
        <f t="shared" si="37"/>
        <v>255091.40610574093</v>
      </c>
      <c r="L305" s="103">
        <f t="shared" si="38"/>
        <v>246759.79845908648</v>
      </c>
      <c r="M305" s="103">
        <f t="shared" si="39"/>
        <v>8331.6076466544473</v>
      </c>
      <c r="N305" s="103">
        <f t="shared" si="40"/>
        <v>14797256.299898585</v>
      </c>
    </row>
    <row r="306" spans="1:14" hidden="1" x14ac:dyDescent="0.25">
      <c r="A306">
        <v>275</v>
      </c>
      <c r="B306" s="112">
        <v>53997</v>
      </c>
      <c r="C306" s="111">
        <f t="shared" si="35"/>
        <v>234394.37538396832</v>
      </c>
      <c r="D306" s="111">
        <f t="shared" si="36"/>
        <v>224145.66716747376</v>
      </c>
      <c r="E306" s="111">
        <f t="shared" si="41"/>
        <v>10248.70821649456</v>
      </c>
      <c r="F306" s="111">
        <f t="shared" si="42"/>
        <v>14630732.321885714</v>
      </c>
      <c r="J306" s="121">
        <v>53997</v>
      </c>
      <c r="K306" s="103">
        <f t="shared" si="37"/>
        <v>255091.40610574093</v>
      </c>
      <c r="L306" s="103">
        <f t="shared" si="38"/>
        <v>246620.93833164222</v>
      </c>
      <c r="M306" s="103">
        <f t="shared" si="39"/>
        <v>8470.4677740987099</v>
      </c>
      <c r="N306" s="103">
        <f t="shared" si="40"/>
        <v>14788785.832124487</v>
      </c>
    </row>
    <row r="307" spans="1:14" hidden="1" x14ac:dyDescent="0.25">
      <c r="A307">
        <v>276</v>
      </c>
      <c r="B307" s="112">
        <v>54027</v>
      </c>
      <c r="C307" s="111">
        <f t="shared" si="35"/>
        <v>234394.37538396832</v>
      </c>
      <c r="D307" s="111">
        <f t="shared" si="36"/>
        <v>223988.76487137299</v>
      </c>
      <c r="E307" s="111">
        <f t="shared" si="41"/>
        <v>10405.610512595333</v>
      </c>
      <c r="F307" s="111">
        <f t="shared" si="42"/>
        <v>14620326.711373119</v>
      </c>
      <c r="J307" s="121">
        <v>54027</v>
      </c>
      <c r="K307" s="103">
        <f t="shared" si="37"/>
        <v>255091.40610574093</v>
      </c>
      <c r="L307" s="103">
        <f t="shared" si="38"/>
        <v>246479.76386874056</v>
      </c>
      <c r="M307" s="103">
        <f t="shared" si="39"/>
        <v>8611.6422370003711</v>
      </c>
      <c r="N307" s="103">
        <f t="shared" si="40"/>
        <v>14780174.189887486</v>
      </c>
    </row>
    <row r="308" spans="1:14" hidden="1" x14ac:dyDescent="0.25">
      <c r="A308">
        <v>277</v>
      </c>
      <c r="B308" s="112">
        <v>54058</v>
      </c>
      <c r="C308" s="111">
        <f t="shared" si="35"/>
        <v>234394.37538396832</v>
      </c>
      <c r="D308" s="111">
        <f t="shared" si="36"/>
        <v>223829.46048419873</v>
      </c>
      <c r="E308" s="111">
        <f t="shared" si="41"/>
        <v>10564.914899769588</v>
      </c>
      <c r="F308" s="111">
        <f t="shared" si="42"/>
        <v>14609761.796473349</v>
      </c>
      <c r="J308" s="121">
        <v>54058</v>
      </c>
      <c r="K308" s="103">
        <f t="shared" si="37"/>
        <v>255091.40610574093</v>
      </c>
      <c r="L308" s="103">
        <f t="shared" si="38"/>
        <v>246336.23649812391</v>
      </c>
      <c r="M308" s="103">
        <f t="shared" si="39"/>
        <v>8755.1696076170192</v>
      </c>
      <c r="N308" s="103">
        <f t="shared" si="40"/>
        <v>14771419.020279869</v>
      </c>
    </row>
    <row r="309" spans="1:14" hidden="1" x14ac:dyDescent="0.25">
      <c r="A309">
        <v>278</v>
      </c>
      <c r="B309" s="112">
        <v>54089</v>
      </c>
      <c r="C309" s="111">
        <f t="shared" si="35"/>
        <v>234394.37538396832</v>
      </c>
      <c r="D309" s="111">
        <f t="shared" si="36"/>
        <v>223667.71723120852</v>
      </c>
      <c r="E309" s="111">
        <f t="shared" si="41"/>
        <v>10726.658152759803</v>
      </c>
      <c r="F309" s="111">
        <f t="shared" si="42"/>
        <v>14599035.138320589</v>
      </c>
      <c r="J309" s="121">
        <v>54089</v>
      </c>
      <c r="K309" s="103">
        <f t="shared" si="37"/>
        <v>255091.40610574093</v>
      </c>
      <c r="L309" s="103">
        <f t="shared" si="38"/>
        <v>246190.31700466361</v>
      </c>
      <c r="M309" s="103">
        <f t="shared" si="39"/>
        <v>8901.0891010773194</v>
      </c>
      <c r="N309" s="103">
        <f t="shared" si="40"/>
        <v>14762517.931178791</v>
      </c>
    </row>
    <row r="310" spans="1:14" hidden="1" x14ac:dyDescent="0.25">
      <c r="A310">
        <v>279</v>
      </c>
      <c r="B310" s="112">
        <v>54118</v>
      </c>
      <c r="C310" s="111">
        <f t="shared" si="35"/>
        <v>234394.37538396832</v>
      </c>
      <c r="D310" s="111">
        <f t="shared" si="36"/>
        <v>223503.49777465814</v>
      </c>
      <c r="E310" s="111">
        <f t="shared" si="41"/>
        <v>10890.877609310177</v>
      </c>
      <c r="F310" s="111">
        <f t="shared" si="42"/>
        <v>14588144.260711279</v>
      </c>
      <c r="J310" s="121">
        <v>54118</v>
      </c>
      <c r="K310" s="103">
        <f t="shared" si="37"/>
        <v>255091.40610574093</v>
      </c>
      <c r="L310" s="103">
        <f t="shared" si="38"/>
        <v>246041.96551964566</v>
      </c>
      <c r="M310" s="103">
        <f t="shared" si="39"/>
        <v>9049.4405860952684</v>
      </c>
      <c r="N310" s="103">
        <f t="shared" si="40"/>
        <v>14753468.490592696</v>
      </c>
    </row>
    <row r="311" spans="1:14" hidden="1" x14ac:dyDescent="0.25">
      <c r="A311">
        <v>280</v>
      </c>
      <c r="B311" s="112">
        <v>54149</v>
      </c>
      <c r="C311" s="111">
        <f t="shared" si="35"/>
        <v>234394.37538396832</v>
      </c>
      <c r="D311" s="111">
        <f t="shared" si="36"/>
        <v>223336.76420518223</v>
      </c>
      <c r="E311" s="111">
        <f t="shared" si="41"/>
        <v>11057.611178786086</v>
      </c>
      <c r="F311" s="111">
        <f t="shared" si="42"/>
        <v>14577086.649532493</v>
      </c>
      <c r="J311" s="121">
        <v>54149</v>
      </c>
      <c r="K311" s="103">
        <f t="shared" si="37"/>
        <v>255091.40610574093</v>
      </c>
      <c r="L311" s="103">
        <f t="shared" si="38"/>
        <v>245891.1415098774</v>
      </c>
      <c r="M311" s="103">
        <f t="shared" si="39"/>
        <v>9200.2645958635258</v>
      </c>
      <c r="N311" s="103">
        <f t="shared" si="40"/>
        <v>14744268.225996831</v>
      </c>
    </row>
    <row r="312" spans="1:14" hidden="1" x14ac:dyDescent="0.25">
      <c r="A312">
        <v>281</v>
      </c>
      <c r="B312" s="112">
        <v>54179</v>
      </c>
      <c r="C312" s="111">
        <f t="shared" si="35"/>
        <v>234394.37538396832</v>
      </c>
      <c r="D312" s="111">
        <f t="shared" si="36"/>
        <v>223167.47803304312</v>
      </c>
      <c r="E312" s="111">
        <f t="shared" si="41"/>
        <v>11226.897350925195</v>
      </c>
      <c r="F312" s="111">
        <f t="shared" si="42"/>
        <v>14565859.752181567</v>
      </c>
      <c r="J312" s="121">
        <v>54179</v>
      </c>
      <c r="K312" s="103">
        <f t="shared" si="37"/>
        <v>255091.40610574093</v>
      </c>
      <c r="L312" s="103">
        <f t="shared" si="38"/>
        <v>245737.80376661298</v>
      </c>
      <c r="M312" s="103">
        <f t="shared" si="39"/>
        <v>9353.602339127945</v>
      </c>
      <c r="N312" s="103">
        <f t="shared" si="40"/>
        <v>14734914.623657703</v>
      </c>
    </row>
    <row r="313" spans="1:14" hidden="1" x14ac:dyDescent="0.25">
      <c r="A313">
        <v>282</v>
      </c>
      <c r="B313" s="112">
        <v>54210</v>
      </c>
      <c r="C313" s="111">
        <f t="shared" si="35"/>
        <v>234394.37538396832</v>
      </c>
      <c r="D313" s="111">
        <f t="shared" si="36"/>
        <v>222995.60017924561</v>
      </c>
      <c r="E313" s="111">
        <f t="shared" si="41"/>
        <v>11398.775204722711</v>
      </c>
      <c r="F313" s="111">
        <f t="shared" si="42"/>
        <v>14554460.976976845</v>
      </c>
      <c r="J313" s="121">
        <v>54210</v>
      </c>
      <c r="K313" s="103">
        <f t="shared" si="37"/>
        <v>255091.40610574093</v>
      </c>
      <c r="L313" s="103">
        <f t="shared" si="38"/>
        <v>245581.91039429419</v>
      </c>
      <c r="M313" s="103">
        <f t="shared" si="39"/>
        <v>9509.4957114467397</v>
      </c>
      <c r="N313" s="103">
        <f t="shared" si="40"/>
        <v>14725405.127946258</v>
      </c>
    </row>
    <row r="314" spans="1:14" hidden="1" x14ac:dyDescent="0.25">
      <c r="A314">
        <v>283</v>
      </c>
      <c r="B314" s="112">
        <v>54240</v>
      </c>
      <c r="C314" s="111">
        <f t="shared" si="35"/>
        <v>234394.37538396832</v>
      </c>
      <c r="D314" s="111">
        <f t="shared" si="36"/>
        <v>222821.09096651585</v>
      </c>
      <c r="E314" s="111">
        <f t="shared" si="41"/>
        <v>11573.284417452465</v>
      </c>
      <c r="F314" s="111">
        <f t="shared" si="42"/>
        <v>14542887.692559393</v>
      </c>
      <c r="J314" s="121">
        <v>54240</v>
      </c>
      <c r="K314" s="103">
        <f t="shared" si="37"/>
        <v>255091.40610574093</v>
      </c>
      <c r="L314" s="103">
        <f t="shared" si="38"/>
        <v>245423.41879910341</v>
      </c>
      <c r="M314" s="103">
        <f t="shared" si="39"/>
        <v>9667.9873066375148</v>
      </c>
      <c r="N314" s="103">
        <f t="shared" si="40"/>
        <v>14715737.14063962</v>
      </c>
    </row>
    <row r="315" spans="1:14" hidden="1" x14ac:dyDescent="0.25">
      <c r="A315">
        <v>284</v>
      </c>
      <c r="B315" s="112">
        <v>54271</v>
      </c>
      <c r="C315" s="111">
        <f t="shared" si="35"/>
        <v>234394.37538396832</v>
      </c>
      <c r="D315" s="111">
        <f t="shared" si="36"/>
        <v>222643.91011014185</v>
      </c>
      <c r="E315" s="111">
        <f t="shared" si="41"/>
        <v>11750.46527382647</v>
      </c>
      <c r="F315" s="111">
        <f t="shared" si="42"/>
        <v>14531137.227285566</v>
      </c>
      <c r="J315" s="121">
        <v>54271</v>
      </c>
      <c r="K315" s="103">
        <f t="shared" si="37"/>
        <v>255091.40610574093</v>
      </c>
      <c r="L315" s="103">
        <f t="shared" si="38"/>
        <v>245262.28567732612</v>
      </c>
      <c r="M315" s="103">
        <f t="shared" si="39"/>
        <v>9829.1204284148116</v>
      </c>
      <c r="N315" s="103">
        <f t="shared" si="40"/>
        <v>14705908.020211205</v>
      </c>
    </row>
    <row r="316" spans="1:14" hidden="1" x14ac:dyDescent="0.25">
      <c r="A316">
        <v>285</v>
      </c>
      <c r="B316" s="112">
        <v>54302</v>
      </c>
      <c r="C316" s="111">
        <f t="shared" si="35"/>
        <v>234394.37538396832</v>
      </c>
      <c r="D316" s="111">
        <f t="shared" si="36"/>
        <v>222464.01670867408</v>
      </c>
      <c r="E316" s="111">
        <f t="shared" si="41"/>
        <v>11930.358675294236</v>
      </c>
      <c r="F316" s="111">
        <f t="shared" si="42"/>
        <v>14519206.868610272</v>
      </c>
      <c r="J316" s="121">
        <v>54302</v>
      </c>
      <c r="K316" s="103">
        <f t="shared" si="37"/>
        <v>255091.40610574093</v>
      </c>
      <c r="L316" s="103">
        <f t="shared" si="38"/>
        <v>245098.46700351921</v>
      </c>
      <c r="M316" s="103">
        <f t="shared" si="39"/>
        <v>9992.9391022217169</v>
      </c>
      <c r="N316" s="103">
        <f t="shared" si="40"/>
        <v>14695915.081108984</v>
      </c>
    </row>
    <row r="317" spans="1:14" hidden="1" x14ac:dyDescent="0.25">
      <c r="A317">
        <v>286</v>
      </c>
      <c r="B317" s="112">
        <v>54332</v>
      </c>
      <c r="C317" s="111">
        <f t="shared" si="35"/>
        <v>234394.37538396832</v>
      </c>
      <c r="D317" s="111">
        <f t="shared" si="36"/>
        <v>222281.36923448346</v>
      </c>
      <c r="E317" s="111">
        <f t="shared" si="41"/>
        <v>12113.006149484863</v>
      </c>
      <c r="F317" s="111">
        <f t="shared" si="42"/>
        <v>14507093.862460786</v>
      </c>
      <c r="J317" s="121">
        <v>54332</v>
      </c>
      <c r="K317" s="103">
        <f t="shared" si="37"/>
        <v>255091.40610574093</v>
      </c>
      <c r="L317" s="103">
        <f t="shared" si="38"/>
        <v>244931.91801848219</v>
      </c>
      <c r="M317" s="103">
        <f t="shared" si="39"/>
        <v>10159.488087258738</v>
      </c>
      <c r="N317" s="103">
        <f t="shared" si="40"/>
        <v>14685755.593021724</v>
      </c>
    </row>
    <row r="318" spans="1:14" hidden="1" x14ac:dyDescent="0.25">
      <c r="A318">
        <v>287</v>
      </c>
      <c r="B318" s="112">
        <v>54363</v>
      </c>
      <c r="C318" s="111">
        <f t="shared" si="35"/>
        <v>234394.37538396832</v>
      </c>
      <c r="D318" s="111">
        <f t="shared" si="36"/>
        <v>222095.92552417485</v>
      </c>
      <c r="E318" s="111">
        <f t="shared" si="41"/>
        <v>12298.449859793473</v>
      </c>
      <c r="F318" s="111">
        <f t="shared" si="42"/>
        <v>14494795.412600992</v>
      </c>
      <c r="J318" s="121">
        <v>54363</v>
      </c>
      <c r="K318" s="103">
        <f t="shared" si="37"/>
        <v>255091.40610574093</v>
      </c>
      <c r="L318" s="103">
        <f t="shared" si="38"/>
        <v>244762.59321702787</v>
      </c>
      <c r="M318" s="103">
        <f t="shared" si="39"/>
        <v>10328.812888713059</v>
      </c>
      <c r="N318" s="103">
        <f t="shared" si="40"/>
        <v>14675426.780133011</v>
      </c>
    </row>
    <row r="319" spans="1:14" hidden="1" x14ac:dyDescent="0.25">
      <c r="A319">
        <v>288</v>
      </c>
      <c r="B319" s="112">
        <v>54393</v>
      </c>
      <c r="C319" s="111">
        <f t="shared" si="35"/>
        <v>234394.37538396832</v>
      </c>
      <c r="D319" s="111">
        <f t="shared" si="36"/>
        <v>221907.6427688539</v>
      </c>
      <c r="E319" s="111">
        <f t="shared" si="41"/>
        <v>12486.732615114423</v>
      </c>
      <c r="F319" s="111">
        <f t="shared" si="42"/>
        <v>14482308.679985877</v>
      </c>
      <c r="J319" s="121">
        <v>54393</v>
      </c>
      <c r="K319" s="103">
        <f t="shared" si="37"/>
        <v>255091.40610574093</v>
      </c>
      <c r="L319" s="103">
        <f t="shared" si="38"/>
        <v>244590.44633554932</v>
      </c>
      <c r="M319" s="103">
        <f t="shared" si="39"/>
        <v>10500.959770191606</v>
      </c>
      <c r="N319" s="103">
        <f t="shared" si="40"/>
        <v>14664925.820362819</v>
      </c>
    </row>
    <row r="320" spans="1:14" hidden="1" x14ac:dyDescent="0.25">
      <c r="A320">
        <v>289</v>
      </c>
      <c r="B320" s="112">
        <v>54424</v>
      </c>
      <c r="C320" s="111">
        <f t="shared" si="35"/>
        <v>234394.37538396832</v>
      </c>
      <c r="D320" s="111">
        <f t="shared" si="36"/>
        <v>221716.47750424477</v>
      </c>
      <c r="E320" s="111">
        <f t="shared" si="41"/>
        <v>12677.897879723547</v>
      </c>
      <c r="F320" s="111">
        <f t="shared" si="42"/>
        <v>14469630.782106154</v>
      </c>
      <c r="J320" s="121">
        <v>54424</v>
      </c>
      <c r="K320" s="103">
        <f t="shared" si="37"/>
        <v>255091.40610574093</v>
      </c>
      <c r="L320" s="103">
        <f t="shared" si="38"/>
        <v>244415.43033937944</v>
      </c>
      <c r="M320" s="103">
        <f t="shared" si="39"/>
        <v>10675.975766361487</v>
      </c>
      <c r="N320" s="103">
        <f t="shared" si="40"/>
        <v>14654249.844596459</v>
      </c>
    </row>
    <row r="321" spans="1:14" hidden="1" x14ac:dyDescent="0.25">
      <c r="A321">
        <v>290</v>
      </c>
      <c r="B321" s="112">
        <v>54455</v>
      </c>
      <c r="C321" s="111">
        <f t="shared" si="35"/>
        <v>234394.37538396832</v>
      </c>
      <c r="D321" s="111">
        <f t="shared" si="36"/>
        <v>221522.38560065653</v>
      </c>
      <c r="E321" s="111">
        <f t="shared" si="41"/>
        <v>12871.989783311787</v>
      </c>
      <c r="F321" s="111">
        <f t="shared" si="42"/>
        <v>14456758.792322842</v>
      </c>
      <c r="J321" s="121">
        <v>54455</v>
      </c>
      <c r="K321" s="103">
        <f t="shared" si="37"/>
        <v>255091.40610574093</v>
      </c>
      <c r="L321" s="103">
        <f t="shared" si="38"/>
        <v>244237.49740994012</v>
      </c>
      <c r="M321" s="103">
        <f t="shared" si="39"/>
        <v>10853.908695800812</v>
      </c>
      <c r="N321" s="103">
        <f t="shared" si="40"/>
        <v>14643395.935900658</v>
      </c>
    </row>
    <row r="322" spans="1:14" hidden="1" x14ac:dyDescent="0.25">
      <c r="A322">
        <v>291</v>
      </c>
      <c r="B322" s="112">
        <v>54483</v>
      </c>
      <c r="C322" s="111">
        <f t="shared" si="35"/>
        <v>234394.37538396832</v>
      </c>
      <c r="D322" s="111">
        <f t="shared" si="36"/>
        <v>221325.32225279609</v>
      </c>
      <c r="E322" s="111">
        <f t="shared" si="41"/>
        <v>13069.05313117223</v>
      </c>
      <c r="F322" s="111">
        <f t="shared" si="42"/>
        <v>14443689.73919167</v>
      </c>
      <c r="J322" s="121">
        <v>54483</v>
      </c>
      <c r="K322" s="103">
        <f t="shared" si="37"/>
        <v>255091.40610574093</v>
      </c>
      <c r="L322" s="103">
        <f t="shared" si="38"/>
        <v>244056.59893167677</v>
      </c>
      <c r="M322" s="103">
        <f t="shared" si="39"/>
        <v>11034.807174064161</v>
      </c>
      <c r="N322" s="103">
        <f t="shared" si="40"/>
        <v>14632361.128726594</v>
      </c>
    </row>
    <row r="323" spans="1:14" hidden="1" x14ac:dyDescent="0.25">
      <c r="A323">
        <v>292</v>
      </c>
      <c r="B323" s="112">
        <v>54514</v>
      </c>
      <c r="C323" s="111">
        <f t="shared" si="35"/>
        <v>234394.37538396832</v>
      </c>
      <c r="D323" s="111">
        <f t="shared" si="36"/>
        <v>221125.241969425</v>
      </c>
      <c r="E323" s="111">
        <f t="shared" si="41"/>
        <v>13269.133414543321</v>
      </c>
      <c r="F323" s="111">
        <f t="shared" si="42"/>
        <v>14430420.605777126</v>
      </c>
      <c r="J323" s="121">
        <v>54514</v>
      </c>
      <c r="K323" s="103">
        <f t="shared" si="37"/>
        <v>255091.40610574093</v>
      </c>
      <c r="L323" s="103">
        <f t="shared" si="38"/>
        <v>243872.6854787757</v>
      </c>
      <c r="M323" s="103">
        <f t="shared" si="39"/>
        <v>11218.720626965223</v>
      </c>
      <c r="N323" s="103">
        <f t="shared" si="40"/>
        <v>14621142.408099629</v>
      </c>
    </row>
    <row r="324" spans="1:14" hidden="1" x14ac:dyDescent="0.25">
      <c r="A324">
        <v>293</v>
      </c>
      <c r="B324" s="112">
        <v>54544</v>
      </c>
      <c r="C324" s="111">
        <f t="shared" si="35"/>
        <v>234394.37538396832</v>
      </c>
      <c r="D324" s="111">
        <f t="shared" si="36"/>
        <v>220922.09856285804</v>
      </c>
      <c r="E324" s="111">
        <f t="shared" si="41"/>
        <v>13472.276821110281</v>
      </c>
      <c r="F324" s="111">
        <f t="shared" si="42"/>
        <v>14416948.328956015</v>
      </c>
      <c r="J324" s="121">
        <v>54544</v>
      </c>
      <c r="K324" s="103">
        <f t="shared" si="37"/>
        <v>255091.40610574093</v>
      </c>
      <c r="L324" s="103">
        <f t="shared" si="38"/>
        <v>243685.70680165963</v>
      </c>
      <c r="M324" s="103">
        <f t="shared" si="39"/>
        <v>11405.699304081296</v>
      </c>
      <c r="N324" s="103">
        <f t="shared" si="40"/>
        <v>14609736.708795547</v>
      </c>
    </row>
    <row r="325" spans="1:14" hidden="1" x14ac:dyDescent="0.25">
      <c r="A325">
        <v>294</v>
      </c>
      <c r="B325" s="112">
        <v>54575</v>
      </c>
      <c r="C325" s="111">
        <f t="shared" si="35"/>
        <v>234394.37538396832</v>
      </c>
      <c r="D325" s="111">
        <f t="shared" si="36"/>
        <v>220715.84513830103</v>
      </c>
      <c r="E325" s="111">
        <f t="shared" si="41"/>
        <v>13678.530245667294</v>
      </c>
      <c r="F325" s="111">
        <f t="shared" si="42"/>
        <v>14403269.798710348</v>
      </c>
      <c r="J325" s="121">
        <v>54575</v>
      </c>
      <c r="K325" s="103">
        <f t="shared" si="37"/>
        <v>255091.40610574093</v>
      </c>
      <c r="L325" s="103">
        <f t="shared" si="38"/>
        <v>243495.61181325826</v>
      </c>
      <c r="M325" s="103">
        <f t="shared" si="39"/>
        <v>11595.794292482664</v>
      </c>
      <c r="N325" s="103">
        <f t="shared" si="40"/>
        <v>14598140.914503064</v>
      </c>
    </row>
    <row r="326" spans="1:14" hidden="1" x14ac:dyDescent="0.25">
      <c r="A326">
        <v>295</v>
      </c>
      <c r="B326" s="112">
        <v>54605</v>
      </c>
      <c r="C326" s="111">
        <f t="shared" si="35"/>
        <v>234394.37538396832</v>
      </c>
      <c r="D326" s="111">
        <f t="shared" si="36"/>
        <v>220506.43408302532</v>
      </c>
      <c r="E326" s="111">
        <f t="shared" si="41"/>
        <v>13887.941300942999</v>
      </c>
      <c r="F326" s="111">
        <f t="shared" si="42"/>
        <v>14389381.857409405</v>
      </c>
      <c r="J326" s="121">
        <v>54605</v>
      </c>
      <c r="K326" s="103">
        <f t="shared" si="37"/>
        <v>255091.40610574093</v>
      </c>
      <c r="L326" s="103">
        <f t="shared" si="38"/>
        <v>243302.34857505022</v>
      </c>
      <c r="M326" s="103">
        <f t="shared" si="39"/>
        <v>11789.057530690712</v>
      </c>
      <c r="N326" s="103">
        <f t="shared" si="40"/>
        <v>14586351.856972374</v>
      </c>
    </row>
    <row r="327" spans="1:14" hidden="1" x14ac:dyDescent="0.25">
      <c r="A327">
        <v>296</v>
      </c>
      <c r="B327" s="112">
        <v>54636</v>
      </c>
      <c r="C327" s="111">
        <f t="shared" si="35"/>
        <v>234394.37538396832</v>
      </c>
      <c r="D327" s="111">
        <f t="shared" si="36"/>
        <v>220293.81705537651</v>
      </c>
      <c r="E327" s="111">
        <f t="shared" si="41"/>
        <v>14100.558328591811</v>
      </c>
      <c r="F327" s="111">
        <f t="shared" si="42"/>
        <v>14375281.299080813</v>
      </c>
      <c r="J327" s="121">
        <v>54636</v>
      </c>
      <c r="K327" s="103">
        <f t="shared" si="37"/>
        <v>255091.40610574093</v>
      </c>
      <c r="L327" s="103">
        <f t="shared" si="38"/>
        <v>243105.86428287203</v>
      </c>
      <c r="M327" s="103">
        <f t="shared" si="39"/>
        <v>11985.541822868894</v>
      </c>
      <c r="N327" s="103">
        <f t="shared" si="40"/>
        <v>14574366.315149505</v>
      </c>
    </row>
    <row r="328" spans="1:14" hidden="1" x14ac:dyDescent="0.25">
      <c r="A328">
        <v>297</v>
      </c>
      <c r="B328" s="112">
        <v>54667</v>
      </c>
      <c r="C328" s="111">
        <f t="shared" si="35"/>
        <v>234394.37538396832</v>
      </c>
      <c r="D328" s="111">
        <f t="shared" si="36"/>
        <v>220077.9449736152</v>
      </c>
      <c r="E328" s="111">
        <f t="shared" si="41"/>
        <v>14316.430410353118</v>
      </c>
      <c r="F328" s="111">
        <f t="shared" si="42"/>
        <v>14360964.86867046</v>
      </c>
      <c r="J328" s="121">
        <v>54667</v>
      </c>
      <c r="K328" s="103">
        <f t="shared" si="37"/>
        <v>255091.40610574093</v>
      </c>
      <c r="L328" s="103">
        <f t="shared" si="38"/>
        <v>242906.10525249087</v>
      </c>
      <c r="M328" s="103">
        <f t="shared" si="39"/>
        <v>12185.300853250053</v>
      </c>
      <c r="N328" s="103">
        <f t="shared" si="40"/>
        <v>14562181.014296254</v>
      </c>
    </row>
    <row r="329" spans="1:14" hidden="1" x14ac:dyDescent="0.25">
      <c r="A329">
        <v>298</v>
      </c>
      <c r="B329" s="112">
        <v>54697</v>
      </c>
      <c r="C329" s="111">
        <f t="shared" si="35"/>
        <v>234394.37538396832</v>
      </c>
      <c r="D329" s="111">
        <f t="shared" si="36"/>
        <v>219858.76800458645</v>
      </c>
      <c r="E329" s="111">
        <f t="shared" si="41"/>
        <v>14535.607379381865</v>
      </c>
      <c r="F329" s="111">
        <f t="shared" si="42"/>
        <v>14346429.261291077</v>
      </c>
      <c r="J329" s="121">
        <v>54697</v>
      </c>
      <c r="K329" s="103">
        <f t="shared" si="37"/>
        <v>255091.40610574093</v>
      </c>
      <c r="L329" s="103">
        <f t="shared" si="38"/>
        <v>242703.0169049367</v>
      </c>
      <c r="M329" s="103">
        <f t="shared" si="39"/>
        <v>12388.389200804231</v>
      </c>
      <c r="N329" s="103">
        <f t="shared" si="40"/>
        <v>14549792.625095449</v>
      </c>
    </row>
    <row r="330" spans="1:14" hidden="1" x14ac:dyDescent="0.25">
      <c r="A330">
        <v>299</v>
      </c>
      <c r="B330" s="112">
        <v>54728</v>
      </c>
      <c r="C330" s="111">
        <f t="shared" si="35"/>
        <v>234394.37538396832</v>
      </c>
      <c r="D330" s="111">
        <f t="shared" si="36"/>
        <v>219636.23555221612</v>
      </c>
      <c r="E330" s="111">
        <f t="shared" si="41"/>
        <v>14758.139831752196</v>
      </c>
      <c r="F330" s="111">
        <f t="shared" si="42"/>
        <v>14331671.121459326</v>
      </c>
      <c r="J330" s="121">
        <v>54728</v>
      </c>
      <c r="K330" s="103">
        <f t="shared" si="37"/>
        <v>255091.40610574093</v>
      </c>
      <c r="L330" s="103">
        <f t="shared" si="38"/>
        <v>242496.54375158995</v>
      </c>
      <c r="M330" s="103">
        <f t="shared" si="39"/>
        <v>12594.862354150973</v>
      </c>
      <c r="N330" s="103">
        <f t="shared" si="40"/>
        <v>14537197.762741297</v>
      </c>
    </row>
    <row r="331" spans="1:14" hidden="1" x14ac:dyDescent="0.25">
      <c r="A331">
        <v>300</v>
      </c>
      <c r="B331" s="112">
        <v>54758</v>
      </c>
      <c r="C331" s="111">
        <f t="shared" si="35"/>
        <v>234394.37538396832</v>
      </c>
      <c r="D331" s="111">
        <f t="shared" si="36"/>
        <v>219410.29624583101</v>
      </c>
      <c r="E331" s="111">
        <f t="shared" si="41"/>
        <v>14984.079138137313</v>
      </c>
      <c r="F331" s="111">
        <f t="shared" si="42"/>
        <v>14316687.042321188</v>
      </c>
      <c r="J331" s="121">
        <v>54758</v>
      </c>
      <c r="K331" s="103">
        <f t="shared" si="37"/>
        <v>255091.40610574093</v>
      </c>
      <c r="L331" s="103">
        <f t="shared" si="38"/>
        <v>242286.62937902077</v>
      </c>
      <c r="M331" s="103">
        <f t="shared" si="39"/>
        <v>12804.776726720156</v>
      </c>
      <c r="N331" s="103">
        <f t="shared" si="40"/>
        <v>14524392.986014577</v>
      </c>
    </row>
    <row r="332" spans="1:14" hidden="1" x14ac:dyDescent="0.25">
      <c r="A332">
        <v>301</v>
      </c>
      <c r="B332" s="112">
        <v>54789</v>
      </c>
      <c r="C332" s="111">
        <f t="shared" si="35"/>
        <v>234394.37538396832</v>
      </c>
      <c r="D332" s="111">
        <f t="shared" si="36"/>
        <v>219180.89792830005</v>
      </c>
      <c r="E332" s="111">
        <f t="shared" si="41"/>
        <v>15213.477455668268</v>
      </c>
      <c r="F332" s="111">
        <f t="shared" si="42"/>
        <v>14301473.56486552</v>
      </c>
      <c r="J332" s="121">
        <v>54789</v>
      </c>
      <c r="K332" s="103">
        <f t="shared" si="37"/>
        <v>255091.40610574093</v>
      </c>
      <c r="L332" s="103">
        <f t="shared" si="38"/>
        <v>242073.21643357541</v>
      </c>
      <c r="M332" s="103">
        <f t="shared" si="39"/>
        <v>13018.189672165521</v>
      </c>
      <c r="N332" s="103">
        <f t="shared" si="40"/>
        <v>14511374.796342412</v>
      </c>
    </row>
    <row r="333" spans="1:14" hidden="1" x14ac:dyDescent="0.25">
      <c r="A333">
        <v>302</v>
      </c>
      <c r="B333" s="112">
        <v>54820</v>
      </c>
      <c r="C333" s="111">
        <f t="shared" si="35"/>
        <v>234394.37538396832</v>
      </c>
      <c r="D333" s="111">
        <f t="shared" si="36"/>
        <v>218947.98764399419</v>
      </c>
      <c r="E333" s="111">
        <f t="shared" si="41"/>
        <v>15446.387739974132</v>
      </c>
      <c r="F333" s="111">
        <f t="shared" si="42"/>
        <v>14286027.177125545</v>
      </c>
      <c r="J333" s="121">
        <v>54820</v>
      </c>
      <c r="K333" s="103">
        <f t="shared" si="37"/>
        <v>255091.40610574093</v>
      </c>
      <c r="L333" s="103">
        <f t="shared" si="38"/>
        <v>241856.24660570599</v>
      </c>
      <c r="M333" s="103">
        <f t="shared" si="39"/>
        <v>13235.159500034933</v>
      </c>
      <c r="N333" s="103">
        <f t="shared" si="40"/>
        <v>14498139.636842377</v>
      </c>
    </row>
    <row r="334" spans="1:14" hidden="1" x14ac:dyDescent="0.25">
      <c r="A334">
        <v>303</v>
      </c>
      <c r="B334" s="112">
        <v>54848</v>
      </c>
      <c r="C334" s="111">
        <f t="shared" si="35"/>
        <v>234394.37538396832</v>
      </c>
      <c r="D334" s="111">
        <f t="shared" si="36"/>
        <v>218711.51162656161</v>
      </c>
      <c r="E334" s="111">
        <f t="shared" si="41"/>
        <v>15682.863757406711</v>
      </c>
      <c r="F334" s="111">
        <f t="shared" si="42"/>
        <v>14270344.313368138</v>
      </c>
      <c r="J334" s="121">
        <v>54848</v>
      </c>
      <c r="K334" s="103">
        <f t="shared" si="37"/>
        <v>255091.40610574093</v>
      </c>
      <c r="L334" s="103">
        <f t="shared" si="38"/>
        <v>241635.66061403876</v>
      </c>
      <c r="M334" s="103">
        <f t="shared" si="39"/>
        <v>13455.745491702168</v>
      </c>
      <c r="N334" s="103">
        <f t="shared" si="40"/>
        <v>14484683.891350675</v>
      </c>
    </row>
    <row r="335" spans="1:14" hidden="1" x14ac:dyDescent="0.25">
      <c r="A335">
        <v>304</v>
      </c>
      <c r="B335" s="112">
        <v>54879</v>
      </c>
      <c r="C335" s="111">
        <f t="shared" si="35"/>
        <v>234394.37538396832</v>
      </c>
      <c r="D335" s="111">
        <f t="shared" si="36"/>
        <v>218471.41528651628</v>
      </c>
      <c r="E335" s="111">
        <f t="shared" si="41"/>
        <v>15922.960097452044</v>
      </c>
      <c r="F335" s="111">
        <f t="shared" si="42"/>
        <v>14254421.353270685</v>
      </c>
      <c r="J335" s="121">
        <v>54879</v>
      </c>
      <c r="K335" s="103">
        <f t="shared" si="37"/>
        <v>255091.40610574093</v>
      </c>
      <c r="L335" s="103">
        <f t="shared" si="38"/>
        <v>241411.39818917707</v>
      </c>
      <c r="M335" s="103">
        <f t="shared" si="39"/>
        <v>13680.00791656386</v>
      </c>
      <c r="N335" s="103">
        <f t="shared" si="40"/>
        <v>14471003.883434111</v>
      </c>
    </row>
    <row r="336" spans="1:14" hidden="1" x14ac:dyDescent="0.25">
      <c r="A336">
        <v>305</v>
      </c>
      <c r="B336" s="112">
        <v>54909</v>
      </c>
      <c r="C336" s="111">
        <f t="shared" si="35"/>
        <v>234394.37538396832</v>
      </c>
      <c r="D336" s="111">
        <f t="shared" si="36"/>
        <v>218227.64319863595</v>
      </c>
      <c r="E336" s="111">
        <f t="shared" si="41"/>
        <v>16166.732185332366</v>
      </c>
      <c r="F336" s="111">
        <f t="shared" si="42"/>
        <v>14238254.621085353</v>
      </c>
      <c r="J336" s="121">
        <v>54909</v>
      </c>
      <c r="K336" s="103">
        <f t="shared" si="37"/>
        <v>255091.40610574093</v>
      </c>
      <c r="L336" s="103">
        <f t="shared" si="38"/>
        <v>241183.39805723433</v>
      </c>
      <c r="M336" s="103">
        <f t="shared" si="39"/>
        <v>13908.008048506599</v>
      </c>
      <c r="N336" s="103">
        <f t="shared" si="40"/>
        <v>14457095.875385605</v>
      </c>
    </row>
    <row r="337" spans="1:14" hidden="1" x14ac:dyDescent="0.25">
      <c r="A337">
        <v>306</v>
      </c>
      <c r="B337" s="112">
        <v>54940</v>
      </c>
      <c r="C337" s="111">
        <f t="shared" si="35"/>
        <v>234394.37538396832</v>
      </c>
      <c r="D337" s="111">
        <f t="shared" si="36"/>
        <v>217980.13908916755</v>
      </c>
      <c r="E337" s="111">
        <f t="shared" si="41"/>
        <v>16414.236294800765</v>
      </c>
      <c r="F337" s="111">
        <f t="shared" si="42"/>
        <v>14221840.384790553</v>
      </c>
      <c r="J337" s="121">
        <v>54940</v>
      </c>
      <c r="K337" s="103">
        <f t="shared" si="37"/>
        <v>255091.40610574093</v>
      </c>
      <c r="L337" s="103">
        <f t="shared" si="38"/>
        <v>240951.59792309254</v>
      </c>
      <c r="M337" s="103">
        <f t="shared" si="39"/>
        <v>14139.808182648383</v>
      </c>
      <c r="N337" s="103">
        <f t="shared" si="40"/>
        <v>14442956.067202955</v>
      </c>
    </row>
    <row r="338" spans="1:14" hidden="1" x14ac:dyDescent="0.25">
      <c r="A338">
        <v>307</v>
      </c>
      <c r="B338" s="112">
        <v>54970</v>
      </c>
      <c r="C338" s="111">
        <f t="shared" si="35"/>
        <v>234394.37538396832</v>
      </c>
      <c r="D338" s="111">
        <f t="shared" si="36"/>
        <v>217728.84582283668</v>
      </c>
      <c r="E338" s="111">
        <f t="shared" si="41"/>
        <v>16665.52956113164</v>
      </c>
      <c r="F338" s="111">
        <f t="shared" si="42"/>
        <v>14205174.855229421</v>
      </c>
      <c r="J338" s="121">
        <v>54970</v>
      </c>
      <c r="K338" s="103">
        <f t="shared" si="37"/>
        <v>255091.40610574093</v>
      </c>
      <c r="L338" s="103">
        <f t="shared" si="38"/>
        <v>240715.93445338175</v>
      </c>
      <c r="M338" s="103">
        <f t="shared" si="39"/>
        <v>14375.471652359178</v>
      </c>
      <c r="N338" s="103">
        <f t="shared" si="40"/>
        <v>14428580.595550597</v>
      </c>
    </row>
    <row r="339" spans="1:14" hidden="1" x14ac:dyDescent="0.25">
      <c r="A339">
        <v>308</v>
      </c>
      <c r="B339" s="112">
        <v>55001</v>
      </c>
      <c r="C339" s="111">
        <f t="shared" si="35"/>
        <v>234394.37538396832</v>
      </c>
      <c r="D339" s="111">
        <f t="shared" si="36"/>
        <v>217473.70538965813</v>
      </c>
      <c r="E339" s="111">
        <f t="shared" si="41"/>
        <v>16920.669994310185</v>
      </c>
      <c r="F339" s="111">
        <f t="shared" si="42"/>
        <v>14188254.185235111</v>
      </c>
      <c r="J339" s="121">
        <v>55001</v>
      </c>
      <c r="K339" s="103">
        <f t="shared" si="37"/>
        <v>255091.40610574093</v>
      </c>
      <c r="L339" s="103">
        <f t="shared" si="38"/>
        <v>240476.34325917574</v>
      </c>
      <c r="M339" s="103">
        <f t="shared" si="39"/>
        <v>14615.062846565183</v>
      </c>
      <c r="N339" s="103">
        <f t="shared" si="40"/>
        <v>14413965.532704031</v>
      </c>
    </row>
    <row r="340" spans="1:14" hidden="1" x14ac:dyDescent="0.25">
      <c r="A340">
        <v>309</v>
      </c>
      <c r="B340" s="112">
        <v>55032</v>
      </c>
      <c r="C340" s="111">
        <f t="shared" si="35"/>
        <v>234394.37538396832</v>
      </c>
      <c r="D340" s="111">
        <f t="shared" si="36"/>
        <v>217214.65889154456</v>
      </c>
      <c r="E340" s="111">
        <f t="shared" si="41"/>
        <v>17179.716492423759</v>
      </c>
      <c r="F340" s="111">
        <f t="shared" si="42"/>
        <v>14171074.468742687</v>
      </c>
      <c r="J340" s="121">
        <v>55032</v>
      </c>
      <c r="K340" s="103">
        <f t="shared" si="37"/>
        <v>255091.40610574093</v>
      </c>
      <c r="L340" s="103">
        <f t="shared" si="38"/>
        <v>240232.75887839968</v>
      </c>
      <c r="M340" s="103">
        <f t="shared" si="39"/>
        <v>14858.647227341251</v>
      </c>
      <c r="N340" s="103">
        <f t="shared" si="40"/>
        <v>14399106.88547669</v>
      </c>
    </row>
    <row r="341" spans="1:14" hidden="1" x14ac:dyDescent="0.25">
      <c r="A341">
        <v>310</v>
      </c>
      <c r="B341" s="112">
        <v>55062</v>
      </c>
      <c r="C341" s="111">
        <f t="shared" si="35"/>
        <v>234394.37538396832</v>
      </c>
      <c r="D341" s="111">
        <f t="shared" si="36"/>
        <v>216951.64652871006</v>
      </c>
      <c r="E341" s="111">
        <f t="shared" si="41"/>
        <v>17442.728855258261</v>
      </c>
      <c r="F341" s="111">
        <f t="shared" si="42"/>
        <v>14153631.739887429</v>
      </c>
      <c r="J341" s="121">
        <v>55062</v>
      </c>
      <c r="K341" s="103">
        <f t="shared" si="37"/>
        <v>255091.40610574093</v>
      </c>
      <c r="L341" s="103">
        <f t="shared" si="38"/>
        <v>239985.11475794399</v>
      </c>
      <c r="M341" s="103">
        <f t="shared" si="39"/>
        <v>15106.291347796941</v>
      </c>
      <c r="N341" s="103">
        <f t="shared" si="40"/>
        <v>14384000.594128894</v>
      </c>
    </row>
    <row r="342" spans="1:14" hidden="1" x14ac:dyDescent="0.25">
      <c r="A342">
        <v>311</v>
      </c>
      <c r="B342" s="112">
        <v>55093</v>
      </c>
      <c r="C342" s="111">
        <f t="shared" si="35"/>
        <v>234394.37538396832</v>
      </c>
      <c r="D342" s="111">
        <f t="shared" si="36"/>
        <v>216684.60758586568</v>
      </c>
      <c r="E342" s="111">
        <f t="shared" si="41"/>
        <v>17709.767798102635</v>
      </c>
      <c r="F342" s="111">
        <f t="shared" si="42"/>
        <v>14135921.972089326</v>
      </c>
      <c r="J342" s="121">
        <v>55093</v>
      </c>
      <c r="K342" s="103">
        <f t="shared" si="37"/>
        <v>255091.40610574093</v>
      </c>
      <c r="L342" s="103">
        <f t="shared" si="38"/>
        <v>239733.34323548072</v>
      </c>
      <c r="M342" s="103">
        <f t="shared" si="39"/>
        <v>15358.062870260212</v>
      </c>
      <c r="N342" s="103">
        <f t="shared" si="40"/>
        <v>14368642.531258633</v>
      </c>
    </row>
    <row r="343" spans="1:14" hidden="1" x14ac:dyDescent="0.25">
      <c r="A343">
        <v>312</v>
      </c>
      <c r="B343" s="112">
        <v>55123</v>
      </c>
      <c r="C343" s="111">
        <f t="shared" si="35"/>
        <v>234394.37538396832</v>
      </c>
      <c r="D343" s="111">
        <f t="shared" si="36"/>
        <v>216413.48041820352</v>
      </c>
      <c r="E343" s="111">
        <f t="shared" si="41"/>
        <v>17980.894965764805</v>
      </c>
      <c r="F343" s="111">
        <f t="shared" si="42"/>
        <v>14117941.077123562</v>
      </c>
      <c r="J343" s="121">
        <v>55123</v>
      </c>
      <c r="K343" s="103">
        <f t="shared" si="37"/>
        <v>255091.40610574093</v>
      </c>
      <c r="L343" s="103">
        <f t="shared" si="38"/>
        <v>239477.37552097638</v>
      </c>
      <c r="M343" s="103">
        <f t="shared" si="39"/>
        <v>15614.03058476455</v>
      </c>
      <c r="N343" s="103">
        <f t="shared" si="40"/>
        <v>14353028.50067387</v>
      </c>
    </row>
    <row r="344" spans="1:14" hidden="1" x14ac:dyDescent="0.25">
      <c r="A344">
        <v>313</v>
      </c>
      <c r="B344" s="112">
        <v>55154</v>
      </c>
      <c r="C344" s="111">
        <f t="shared" si="35"/>
        <v>234394.37538396832</v>
      </c>
      <c r="D344" s="111">
        <f t="shared" si="36"/>
        <v>216138.20243716639</v>
      </c>
      <c r="E344" s="111">
        <f t="shared" si="41"/>
        <v>18256.172946801933</v>
      </c>
      <c r="F344" s="111">
        <f t="shared" si="42"/>
        <v>14099684.90417676</v>
      </c>
      <c r="J344" s="121">
        <v>55154</v>
      </c>
      <c r="K344" s="103">
        <f t="shared" si="37"/>
        <v>255091.40610574093</v>
      </c>
      <c r="L344" s="103">
        <f t="shared" si="38"/>
        <v>239217.14167789699</v>
      </c>
      <c r="M344" s="103">
        <f t="shared" si="39"/>
        <v>15874.26442784394</v>
      </c>
      <c r="N344" s="103">
        <f t="shared" si="40"/>
        <v>14337154.236246025</v>
      </c>
    </row>
    <row r="345" spans="1:14" hidden="1" x14ac:dyDescent="0.25">
      <c r="A345">
        <v>314</v>
      </c>
      <c r="B345" s="112">
        <v>55185</v>
      </c>
      <c r="C345" s="111">
        <f t="shared" si="35"/>
        <v>234394.37538396832</v>
      </c>
      <c r="D345" s="111">
        <f t="shared" si="36"/>
        <v>215858.71009599935</v>
      </c>
      <c r="E345" s="111">
        <f t="shared" si="41"/>
        <v>18535.665287968965</v>
      </c>
      <c r="F345" s="111">
        <f t="shared" si="42"/>
        <v>14081149.238888791</v>
      </c>
      <c r="J345" s="121">
        <v>55185</v>
      </c>
      <c r="K345" s="103">
        <f t="shared" si="37"/>
        <v>255091.40610574093</v>
      </c>
      <c r="L345" s="103">
        <f t="shared" si="38"/>
        <v>238952.57060409957</v>
      </c>
      <c r="M345" s="103">
        <f t="shared" si="39"/>
        <v>16138.835501641355</v>
      </c>
      <c r="N345" s="103">
        <f t="shared" si="40"/>
        <v>14321015.400744384</v>
      </c>
    </row>
    <row r="346" spans="1:14" hidden="1" x14ac:dyDescent="0.25">
      <c r="A346">
        <v>315</v>
      </c>
      <c r="B346" s="112">
        <v>55213</v>
      </c>
      <c r="C346" s="111">
        <f t="shared" si="35"/>
        <v>234394.37538396832</v>
      </c>
      <c r="D346" s="111">
        <f t="shared" si="36"/>
        <v>215574.93887508029</v>
      </c>
      <c r="E346" s="111">
        <f t="shared" si="41"/>
        <v>18819.436508888029</v>
      </c>
      <c r="F346" s="111">
        <f t="shared" si="42"/>
        <v>14062329.802379902</v>
      </c>
      <c r="J346" s="121">
        <v>55213</v>
      </c>
      <c r="K346" s="103">
        <f t="shared" si="37"/>
        <v>255091.40610574093</v>
      </c>
      <c r="L346" s="103">
        <f t="shared" si="38"/>
        <v>238683.59001240556</v>
      </c>
      <c r="M346" s="103">
        <f t="shared" si="39"/>
        <v>16407.816093335365</v>
      </c>
      <c r="N346" s="103">
        <f t="shared" si="40"/>
        <v>14304607.584651049</v>
      </c>
    </row>
    <row r="347" spans="1:14" hidden="1" x14ac:dyDescent="0.25">
      <c r="A347">
        <v>316</v>
      </c>
      <c r="B347" s="112">
        <v>55244</v>
      </c>
      <c r="C347" s="111">
        <f t="shared" si="35"/>
        <v>234394.37538396832</v>
      </c>
      <c r="D347" s="111">
        <f t="shared" si="36"/>
        <v>215286.82326702587</v>
      </c>
      <c r="E347" s="111">
        <f t="shared" si="41"/>
        <v>19107.552116942446</v>
      </c>
      <c r="F347" s="111">
        <f t="shared" si="42"/>
        <v>14043222.250262961</v>
      </c>
      <c r="J347" s="121">
        <v>55244</v>
      </c>
      <c r="K347" s="103">
        <f t="shared" si="37"/>
        <v>255091.40610574093</v>
      </c>
      <c r="L347" s="103">
        <f t="shared" si="38"/>
        <v>238410.12641084997</v>
      </c>
      <c r="M347" s="103">
        <f t="shared" si="39"/>
        <v>16681.279694890953</v>
      </c>
      <c r="N347" s="103">
        <f t="shared" si="40"/>
        <v>14287926.304956159</v>
      </c>
    </row>
    <row r="348" spans="1:14" hidden="1" x14ac:dyDescent="0.25">
      <c r="A348">
        <v>317</v>
      </c>
      <c r="B348" s="112">
        <v>55274</v>
      </c>
      <c r="C348" s="111">
        <f t="shared" si="35"/>
        <v>234394.37538396832</v>
      </c>
      <c r="D348" s="111">
        <f t="shared" si="36"/>
        <v>214994.29676156948</v>
      </c>
      <c r="E348" s="111">
        <f t="shared" si="41"/>
        <v>19400.07862239884</v>
      </c>
      <c r="F348" s="111">
        <f t="shared" si="42"/>
        <v>14023822.171640562</v>
      </c>
      <c r="J348" s="121">
        <v>55274</v>
      </c>
      <c r="K348" s="103">
        <f t="shared" si="37"/>
        <v>255091.40610574093</v>
      </c>
      <c r="L348" s="103">
        <f t="shared" si="38"/>
        <v>238132.1050826018</v>
      </c>
      <c r="M348" s="103">
        <f t="shared" si="39"/>
        <v>16959.301023139124</v>
      </c>
      <c r="N348" s="103">
        <f t="shared" si="40"/>
        <v>14270967.00393302</v>
      </c>
    </row>
    <row r="349" spans="1:14" hidden="1" x14ac:dyDescent="0.25">
      <c r="A349">
        <v>318</v>
      </c>
      <c r="B349" s="112">
        <v>55305</v>
      </c>
      <c r="C349" s="111">
        <f t="shared" si="35"/>
        <v>234394.37538396832</v>
      </c>
      <c r="D349" s="111">
        <f t="shared" si="36"/>
        <v>214697.29183020742</v>
      </c>
      <c r="E349" s="111">
        <f t="shared" si="41"/>
        <v>19697.083553760895</v>
      </c>
      <c r="F349" s="111">
        <f t="shared" si="42"/>
        <v>14004125.088086801</v>
      </c>
      <c r="J349" s="121">
        <v>55305</v>
      </c>
      <c r="K349" s="103">
        <f t="shared" si="37"/>
        <v>255091.40610574093</v>
      </c>
      <c r="L349" s="103">
        <f t="shared" si="38"/>
        <v>237849.45006554949</v>
      </c>
      <c r="M349" s="103">
        <f t="shared" si="39"/>
        <v>17241.956040191435</v>
      </c>
      <c r="N349" s="103">
        <f t="shared" si="40"/>
        <v>14253725.047892829</v>
      </c>
    </row>
    <row r="350" spans="1:14" hidden="1" x14ac:dyDescent="0.25">
      <c r="A350">
        <v>319</v>
      </c>
      <c r="B350" s="112">
        <v>55335</v>
      </c>
      <c r="C350" s="111">
        <f t="shared" si="35"/>
        <v>234394.37538396832</v>
      </c>
      <c r="D350" s="111">
        <f t="shared" si="36"/>
        <v>214395.73991061037</v>
      </c>
      <c r="E350" s="111">
        <f t="shared" si="41"/>
        <v>19998.63547335795</v>
      </c>
      <c r="F350" s="111">
        <f t="shared" si="42"/>
        <v>13984126.452613443</v>
      </c>
      <c r="J350" s="121">
        <v>55335</v>
      </c>
      <c r="K350" s="103">
        <f t="shared" si="37"/>
        <v>255091.40610574093</v>
      </c>
      <c r="L350" s="103">
        <f t="shared" si="38"/>
        <v>237562.08413154632</v>
      </c>
      <c r="M350" s="103">
        <f t="shared" si="39"/>
        <v>17529.321974194609</v>
      </c>
      <c r="N350" s="103">
        <f t="shared" si="40"/>
        <v>14236195.725918636</v>
      </c>
    </row>
    <row r="351" spans="1:14" hidden="1" x14ac:dyDescent="0.25">
      <c r="A351">
        <v>320</v>
      </c>
      <c r="B351" s="112">
        <v>55366</v>
      </c>
      <c r="C351" s="111">
        <f t="shared" si="35"/>
        <v>234394.37538396832</v>
      </c>
      <c r="D351" s="111">
        <f t="shared" si="36"/>
        <v>214089.57139079613</v>
      </c>
      <c r="E351" s="111">
        <f t="shared" si="41"/>
        <v>20304.803993172187</v>
      </c>
      <c r="F351" s="111">
        <f t="shared" si="42"/>
        <v>13963821.64862027</v>
      </c>
      <c r="J351" s="121">
        <v>55366</v>
      </c>
      <c r="K351" s="103">
        <f t="shared" si="37"/>
        <v>255091.40610574093</v>
      </c>
      <c r="L351" s="103">
        <f t="shared" si="38"/>
        <v>237269.92876530974</v>
      </c>
      <c r="M351" s="103">
        <f t="shared" si="39"/>
        <v>17821.477340431185</v>
      </c>
      <c r="N351" s="103">
        <f t="shared" si="40"/>
        <v>14218374.248578204</v>
      </c>
    </row>
    <row r="352" spans="1:14" hidden="1" x14ac:dyDescent="0.25">
      <c r="A352">
        <v>321</v>
      </c>
      <c r="B352" s="112">
        <v>55397</v>
      </c>
      <c r="C352" s="111">
        <f t="shared" ref="C352:C415" si="43">x</f>
        <v>234394.37538396832</v>
      </c>
      <c r="D352" s="111">
        <f t="shared" ref="D352:D415" si="44">F351*((1+ANNUAL_INTEREST_RATE)^(1/12)-1)</f>
        <v>213778.71559305981</v>
      </c>
      <c r="E352" s="111">
        <f t="shared" si="41"/>
        <v>20615.65979090851</v>
      </c>
      <c r="F352" s="111">
        <f t="shared" si="42"/>
        <v>13943205.988829361</v>
      </c>
      <c r="J352" s="121">
        <v>55397</v>
      </c>
      <c r="K352" s="103">
        <f t="shared" si="37"/>
        <v>255091.40610574093</v>
      </c>
      <c r="L352" s="103">
        <f t="shared" si="38"/>
        <v>236972.90414296923</v>
      </c>
      <c r="M352" s="103">
        <f t="shared" si="39"/>
        <v>18118.501962771697</v>
      </c>
      <c r="N352" s="103">
        <f t="shared" si="40"/>
        <v>14200255.746615432</v>
      </c>
    </row>
    <row r="353" spans="1:14" hidden="1" x14ac:dyDescent="0.25">
      <c r="A353">
        <v>322</v>
      </c>
      <c r="B353" s="112">
        <v>55427</v>
      </c>
      <c r="C353" s="111">
        <f t="shared" si="43"/>
        <v>234394.37538396832</v>
      </c>
      <c r="D353" s="111">
        <f t="shared" si="44"/>
        <v>213463.10075765839</v>
      </c>
      <c r="E353" s="111">
        <f t="shared" si="41"/>
        <v>20931.274626309925</v>
      </c>
      <c r="F353" s="111">
        <f t="shared" si="42"/>
        <v>13922274.714203052</v>
      </c>
      <c r="J353" s="121">
        <v>55427</v>
      </c>
      <c r="K353" s="103">
        <f t="shared" ref="K353:K416" si="45">$L$23</f>
        <v>255091.40610574093</v>
      </c>
      <c r="L353" s="103">
        <f t="shared" ref="L353:L416" si="46">N352*((1+$L$5)^(1/12)-1)</f>
        <v>236670.92911025637</v>
      </c>
      <c r="M353" s="103">
        <f t="shared" ref="M353:M416" si="47">K353-L353</f>
        <v>18420.476995484554</v>
      </c>
      <c r="N353" s="103">
        <f t="shared" ref="N353:N416" si="48">N352-M353</f>
        <v>14181835.269619947</v>
      </c>
    </row>
    <row r="354" spans="1:14" hidden="1" x14ac:dyDescent="0.25">
      <c r="A354">
        <v>323</v>
      </c>
      <c r="B354" s="112">
        <v>55458</v>
      </c>
      <c r="C354" s="111">
        <f t="shared" si="43"/>
        <v>234394.37538396832</v>
      </c>
      <c r="D354" s="111">
        <f t="shared" si="44"/>
        <v>213142.65402624515</v>
      </c>
      <c r="E354" s="111">
        <f t="shared" si="41"/>
        <v>21251.721357723174</v>
      </c>
      <c r="F354" s="111">
        <f t="shared" si="42"/>
        <v>13901022.992845329</v>
      </c>
      <c r="J354" s="121">
        <v>55458</v>
      </c>
      <c r="K354" s="103">
        <f t="shared" si="45"/>
        <v>255091.40610574093</v>
      </c>
      <c r="L354" s="103">
        <f t="shared" si="46"/>
        <v>236363.92116033161</v>
      </c>
      <c r="M354" s="103">
        <f t="shared" si="47"/>
        <v>18727.48494540932</v>
      </c>
      <c r="N354" s="103">
        <f t="shared" si="48"/>
        <v>14163107.784674538</v>
      </c>
    </row>
    <row r="355" spans="1:14" hidden="1" x14ac:dyDescent="0.25">
      <c r="A355">
        <v>324</v>
      </c>
      <c r="B355" s="112">
        <v>55488</v>
      </c>
      <c r="C355" s="111">
        <f t="shared" si="43"/>
        <v>234394.37538396832</v>
      </c>
      <c r="D355" s="111">
        <f t="shared" si="44"/>
        <v>212817.30142505057</v>
      </c>
      <c r="E355" s="111">
        <f t="shared" si="41"/>
        <v>21577.073958917754</v>
      </c>
      <c r="F355" s="111">
        <f t="shared" si="42"/>
        <v>13879445.91888641</v>
      </c>
      <c r="J355" s="121">
        <v>55488</v>
      </c>
      <c r="K355" s="103">
        <f t="shared" si="45"/>
        <v>255091.40610574093</v>
      </c>
      <c r="L355" s="103">
        <f t="shared" si="46"/>
        <v>236051.79641124146</v>
      </c>
      <c r="M355" s="103">
        <f t="shared" si="47"/>
        <v>19039.609694499464</v>
      </c>
      <c r="N355" s="103">
        <f t="shared" si="48"/>
        <v>14144068.174980039</v>
      </c>
    </row>
    <row r="356" spans="1:14" hidden="1" x14ac:dyDescent="0.25">
      <c r="A356">
        <v>325</v>
      </c>
      <c r="B356" s="112">
        <v>55519</v>
      </c>
      <c r="C356" s="111">
        <f t="shared" si="43"/>
        <v>234394.37538396832</v>
      </c>
      <c r="D356" s="111">
        <f t="shared" si="44"/>
        <v>212486.96784780599</v>
      </c>
      <c r="E356" s="111">
        <f t="shared" ref="E356:E419" si="49">C356-D356</f>
        <v>21907.407536162325</v>
      </c>
      <c r="F356" s="111">
        <f t="shared" ref="F356:F419" si="50">F355-E356</f>
        <v>13857538.511350248</v>
      </c>
      <c r="J356" s="121">
        <v>55519</v>
      </c>
      <c r="K356" s="103">
        <f t="shared" si="45"/>
        <v>255091.40610574093</v>
      </c>
      <c r="L356" s="103">
        <f t="shared" si="46"/>
        <v>235734.46958299979</v>
      </c>
      <c r="M356" s="103">
        <f t="shared" si="47"/>
        <v>19356.936522741133</v>
      </c>
      <c r="N356" s="103">
        <f t="shared" si="48"/>
        <v>14124711.238457298</v>
      </c>
    </row>
    <row r="357" spans="1:14" hidden="1" x14ac:dyDescent="0.25">
      <c r="A357">
        <v>326</v>
      </c>
      <c r="B357" s="112">
        <v>55550</v>
      </c>
      <c r="C357" s="111">
        <f t="shared" si="43"/>
        <v>234394.37538396832</v>
      </c>
      <c r="D357" s="111">
        <f t="shared" si="44"/>
        <v>212151.57703840552</v>
      </c>
      <c r="E357" s="111">
        <f t="shared" si="49"/>
        <v>22242.798345562798</v>
      </c>
      <c r="F357" s="111">
        <f t="shared" si="50"/>
        <v>13835295.713004686</v>
      </c>
      <c r="J357" s="121">
        <v>55550</v>
      </c>
      <c r="K357" s="103">
        <f t="shared" si="45"/>
        <v>255091.40610574093</v>
      </c>
      <c r="L357" s="103">
        <f t="shared" si="46"/>
        <v>235411.85397428746</v>
      </c>
      <c r="M357" s="103">
        <f t="shared" si="47"/>
        <v>19679.552131453471</v>
      </c>
      <c r="N357" s="103">
        <f t="shared" si="48"/>
        <v>14105031.686325844</v>
      </c>
    </row>
    <row r="358" spans="1:14" hidden="1" x14ac:dyDescent="0.25">
      <c r="A358">
        <v>327</v>
      </c>
      <c r="B358" s="112">
        <v>55579</v>
      </c>
      <c r="C358" s="111">
        <f t="shared" si="43"/>
        <v>234394.37538396832</v>
      </c>
      <c r="D358" s="111">
        <f t="shared" si="44"/>
        <v>211811.05157330268</v>
      </c>
      <c r="E358" s="111">
        <f t="shared" si="49"/>
        <v>22583.323810665635</v>
      </c>
      <c r="F358" s="111">
        <f t="shared" si="50"/>
        <v>13812712.389194021</v>
      </c>
      <c r="J358" s="121">
        <v>55579</v>
      </c>
      <c r="K358" s="103">
        <f t="shared" si="45"/>
        <v>255091.40610574093</v>
      </c>
      <c r="L358" s="103">
        <f t="shared" si="46"/>
        <v>235083.86143876324</v>
      </c>
      <c r="M358" s="103">
        <f t="shared" si="47"/>
        <v>20007.544666977687</v>
      </c>
      <c r="N358" s="103">
        <f t="shared" si="48"/>
        <v>14085024.141658867</v>
      </c>
    </row>
    <row r="359" spans="1:14" hidden="1" x14ac:dyDescent="0.25">
      <c r="A359">
        <v>328</v>
      </c>
      <c r="B359" s="112">
        <v>55610</v>
      </c>
      <c r="C359" s="111">
        <f t="shared" si="43"/>
        <v>234394.37538396832</v>
      </c>
      <c r="D359" s="111">
        <f t="shared" si="44"/>
        <v>211465.31284363742</v>
      </c>
      <c r="E359" s="111">
        <f t="shared" si="49"/>
        <v>22929.062540330895</v>
      </c>
      <c r="F359" s="111">
        <f t="shared" si="50"/>
        <v>13789783.326653691</v>
      </c>
      <c r="J359" s="121">
        <v>55610</v>
      </c>
      <c r="K359" s="103">
        <f t="shared" si="45"/>
        <v>255091.40610574093</v>
      </c>
      <c r="L359" s="103">
        <f t="shared" si="46"/>
        <v>234750.40236098028</v>
      </c>
      <c r="M359" s="103">
        <f t="shared" si="47"/>
        <v>20341.003744760645</v>
      </c>
      <c r="N359" s="103">
        <f t="shared" si="48"/>
        <v>14064683.137914106</v>
      </c>
    </row>
    <row r="360" spans="1:14" hidden="1" x14ac:dyDescent="0.25">
      <c r="A360">
        <v>329</v>
      </c>
      <c r="B360" s="112">
        <v>55640</v>
      </c>
      <c r="C360" s="111">
        <f t="shared" si="43"/>
        <v>234394.37538396832</v>
      </c>
      <c r="D360" s="111">
        <f t="shared" si="44"/>
        <v>211114.28103708976</v>
      </c>
      <c r="E360" s="111">
        <f t="shared" si="49"/>
        <v>23280.094346878555</v>
      </c>
      <c r="F360" s="111">
        <f t="shared" si="50"/>
        <v>13766503.232306812</v>
      </c>
      <c r="J360" s="121">
        <v>55640</v>
      </c>
      <c r="K360" s="103">
        <f t="shared" si="45"/>
        <v>255091.40610574093</v>
      </c>
      <c r="L360" s="103">
        <f t="shared" si="46"/>
        <v>234411.38563190095</v>
      </c>
      <c r="M360" s="103">
        <f t="shared" si="47"/>
        <v>20680.020473839977</v>
      </c>
      <c r="N360" s="103">
        <f t="shared" si="48"/>
        <v>14044003.117440267</v>
      </c>
    </row>
    <row r="361" spans="1:14" hidden="1" x14ac:dyDescent="0.25">
      <c r="A361">
        <v>330</v>
      </c>
      <c r="B361" s="112">
        <v>55671</v>
      </c>
      <c r="C361" s="111">
        <f t="shared" si="43"/>
        <v>234394.37538396832</v>
      </c>
      <c r="D361" s="111">
        <f t="shared" si="44"/>
        <v>210757.87511945525</v>
      </c>
      <c r="E361" s="111">
        <f t="shared" si="49"/>
        <v>23636.500264513073</v>
      </c>
      <c r="F361" s="111">
        <f t="shared" si="50"/>
        <v>13742866.7320423</v>
      </c>
      <c r="J361" s="121">
        <v>55671</v>
      </c>
      <c r="K361" s="103">
        <f t="shared" si="45"/>
        <v>255091.40610574093</v>
      </c>
      <c r="L361" s="103">
        <f t="shared" si="46"/>
        <v>234066.71862400361</v>
      </c>
      <c r="M361" s="103">
        <f t="shared" si="47"/>
        <v>21024.687481737317</v>
      </c>
      <c r="N361" s="103">
        <f t="shared" si="48"/>
        <v>14022978.42995853</v>
      </c>
    </row>
    <row r="362" spans="1:14" hidden="1" x14ac:dyDescent="0.25">
      <c r="A362">
        <v>331</v>
      </c>
      <c r="B362" s="112">
        <v>55701</v>
      </c>
      <c r="C362" s="111">
        <f t="shared" si="43"/>
        <v>234394.37538396832</v>
      </c>
      <c r="D362" s="111">
        <f t="shared" si="44"/>
        <v>210396.0128159388</v>
      </c>
      <c r="E362" s="111">
        <f t="shared" si="49"/>
        <v>23998.362568029523</v>
      </c>
      <c r="F362" s="111">
        <f t="shared" si="50"/>
        <v>13718868.369474269</v>
      </c>
      <c r="J362" s="121">
        <v>55701</v>
      </c>
      <c r="K362" s="103">
        <f t="shared" si="45"/>
        <v>255091.40610574093</v>
      </c>
      <c r="L362" s="103">
        <f t="shared" si="46"/>
        <v>233716.30716597466</v>
      </c>
      <c r="M362" s="103">
        <f t="shared" si="47"/>
        <v>21375.098939766263</v>
      </c>
      <c r="N362" s="103">
        <f t="shared" si="48"/>
        <v>14001603.331018763</v>
      </c>
    </row>
    <row r="363" spans="1:14" hidden="1" x14ac:dyDescent="0.25">
      <c r="A363">
        <v>332</v>
      </c>
      <c r="B363" s="112">
        <v>55732</v>
      </c>
      <c r="C363" s="111">
        <f t="shared" si="43"/>
        <v>234394.37538396832</v>
      </c>
      <c r="D363" s="111">
        <f t="shared" si="44"/>
        <v>210028.61059216168</v>
      </c>
      <c r="E363" s="111">
        <f t="shared" si="49"/>
        <v>24365.764791806636</v>
      </c>
      <c r="F363" s="111">
        <f t="shared" si="50"/>
        <v>13694502.604682462</v>
      </c>
      <c r="J363" s="121">
        <v>55732</v>
      </c>
      <c r="K363" s="103">
        <f t="shared" si="45"/>
        <v>255091.40610574093</v>
      </c>
      <c r="L363" s="103">
        <f t="shared" si="46"/>
        <v>233360.05551697855</v>
      </c>
      <c r="M363" s="103">
        <f t="shared" si="47"/>
        <v>21731.350588762376</v>
      </c>
      <c r="N363" s="103">
        <f t="shared" si="48"/>
        <v>13979871.98043</v>
      </c>
    </row>
    <row r="364" spans="1:14" hidden="1" x14ac:dyDescent="0.25">
      <c r="A364">
        <v>333</v>
      </c>
      <c r="B364" s="112">
        <v>55763</v>
      </c>
      <c r="C364" s="111">
        <f t="shared" si="43"/>
        <v>234394.37538396832</v>
      </c>
      <c r="D364" s="111">
        <f t="shared" si="44"/>
        <v>209655.58363487813</v>
      </c>
      <c r="E364" s="111">
        <f t="shared" si="49"/>
        <v>24738.791749090189</v>
      </c>
      <c r="F364" s="111">
        <f t="shared" si="50"/>
        <v>13669763.812933372</v>
      </c>
      <c r="J364" s="121">
        <v>55763</v>
      </c>
      <c r="K364" s="103">
        <f t="shared" si="45"/>
        <v>255091.40610574093</v>
      </c>
      <c r="L364" s="103">
        <f t="shared" si="46"/>
        <v>232997.86634049917</v>
      </c>
      <c r="M364" s="103">
        <f t="shared" si="47"/>
        <v>22093.53976524176</v>
      </c>
      <c r="N364" s="103">
        <f t="shared" si="48"/>
        <v>13957778.440664757</v>
      </c>
    </row>
    <row r="365" spans="1:14" hidden="1" x14ac:dyDescent="0.25">
      <c r="A365">
        <v>334</v>
      </c>
      <c r="B365" s="112">
        <v>55793</v>
      </c>
      <c r="C365" s="111">
        <f t="shared" si="43"/>
        <v>234394.37538396832</v>
      </c>
      <c r="D365" s="111">
        <f t="shared" si="44"/>
        <v>209276.84583239644</v>
      </c>
      <c r="E365" s="111">
        <f t="shared" si="49"/>
        <v>25117.529551571875</v>
      </c>
      <c r="F365" s="111">
        <f t="shared" si="50"/>
        <v>13644646.283381801</v>
      </c>
      <c r="J365" s="121">
        <v>55793</v>
      </c>
      <c r="K365" s="103">
        <f t="shared" si="45"/>
        <v>255091.40610574093</v>
      </c>
      <c r="L365" s="103">
        <f t="shared" si="46"/>
        <v>232629.64067774513</v>
      </c>
      <c r="M365" s="103">
        <f t="shared" si="47"/>
        <v>22461.765427995793</v>
      </c>
      <c r="N365" s="103">
        <f t="shared" si="48"/>
        <v>13935316.675236762</v>
      </c>
    </row>
    <row r="366" spans="1:14" hidden="1" x14ac:dyDescent="0.25">
      <c r="A366">
        <v>335</v>
      </c>
      <c r="B366" s="112">
        <v>55824</v>
      </c>
      <c r="C366" s="111">
        <f t="shared" si="43"/>
        <v>234394.37538396832</v>
      </c>
      <c r="D366" s="111">
        <f t="shared" si="44"/>
        <v>208892.30975470055</v>
      </c>
      <c r="E366" s="111">
        <f t="shared" si="49"/>
        <v>25502.065629267774</v>
      </c>
      <c r="F366" s="111">
        <f t="shared" si="50"/>
        <v>13619144.217752533</v>
      </c>
      <c r="J366" s="121">
        <v>55824</v>
      </c>
      <c r="K366" s="103">
        <f t="shared" si="45"/>
        <v>255091.40610574093</v>
      </c>
      <c r="L366" s="103">
        <f t="shared" si="46"/>
        <v>232255.27792061187</v>
      </c>
      <c r="M366" s="103">
        <f t="shared" si="47"/>
        <v>22836.128185129055</v>
      </c>
      <c r="N366" s="103">
        <f t="shared" si="48"/>
        <v>13912480.547051633</v>
      </c>
    </row>
    <row r="367" spans="1:14" hidden="1" x14ac:dyDescent="0.25">
      <c r="A367">
        <v>336</v>
      </c>
      <c r="B367" s="112">
        <v>55854</v>
      </c>
      <c r="C367" s="111">
        <f t="shared" si="43"/>
        <v>234394.37538396832</v>
      </c>
      <c r="D367" s="111">
        <f t="shared" si="44"/>
        <v>208501.88663326704</v>
      </c>
      <c r="E367" s="111">
        <f t="shared" si="49"/>
        <v>25892.488750701275</v>
      </c>
      <c r="F367" s="111">
        <f t="shared" si="50"/>
        <v>13593251.729001831</v>
      </c>
      <c r="J367" s="121">
        <v>55854</v>
      </c>
      <c r="K367" s="103">
        <f t="shared" si="45"/>
        <v>255091.40610574093</v>
      </c>
      <c r="L367" s="103">
        <f t="shared" si="46"/>
        <v>231874.67578419307</v>
      </c>
      <c r="M367" s="103">
        <f t="shared" si="47"/>
        <v>23216.730321547861</v>
      </c>
      <c r="N367" s="103">
        <f t="shared" si="48"/>
        <v>13889263.816730086</v>
      </c>
    </row>
    <row r="368" spans="1:14" hidden="1" x14ac:dyDescent="0.25">
      <c r="A368">
        <v>337</v>
      </c>
      <c r="B368" s="112">
        <v>55885</v>
      </c>
      <c r="C368" s="111">
        <f t="shared" si="43"/>
        <v>234394.37538396832</v>
      </c>
      <c r="D368" s="111">
        <f t="shared" si="44"/>
        <v>208105.48634057355</v>
      </c>
      <c r="E368" s="111">
        <f t="shared" si="49"/>
        <v>26288.889043394767</v>
      </c>
      <c r="F368" s="111">
        <f t="shared" si="50"/>
        <v>13566962.839958437</v>
      </c>
      <c r="J368" s="121">
        <v>55885</v>
      </c>
      <c r="K368" s="103">
        <f t="shared" si="45"/>
        <v>255091.40610574093</v>
      </c>
      <c r="L368" s="103">
        <f t="shared" si="46"/>
        <v>231487.73027883394</v>
      </c>
      <c r="M368" s="103">
        <f t="shared" si="47"/>
        <v>23603.675826906983</v>
      </c>
      <c r="N368" s="103">
        <f t="shared" si="48"/>
        <v>13865660.140903179</v>
      </c>
    </row>
    <row r="369" spans="1:14" hidden="1" x14ac:dyDescent="0.25">
      <c r="A369">
        <v>338</v>
      </c>
      <c r="B369" s="112">
        <v>55916</v>
      </c>
      <c r="C369" s="111">
        <f t="shared" si="43"/>
        <v>234394.37538396832</v>
      </c>
      <c r="D369" s="111">
        <f t="shared" si="44"/>
        <v>207703.017369293</v>
      </c>
      <c r="E369" s="111">
        <f t="shared" si="49"/>
        <v>26691.358014675323</v>
      </c>
      <c r="F369" s="111">
        <f t="shared" si="50"/>
        <v>13540271.481943762</v>
      </c>
      <c r="J369" s="121">
        <v>55916</v>
      </c>
      <c r="K369" s="103">
        <f t="shared" si="45"/>
        <v>255091.40610574093</v>
      </c>
      <c r="L369" s="103">
        <f t="shared" si="46"/>
        <v>231094.33568171883</v>
      </c>
      <c r="M369" s="103">
        <f t="shared" si="47"/>
        <v>23997.070424022095</v>
      </c>
      <c r="N369" s="103">
        <f t="shared" si="48"/>
        <v>13841663.070479156</v>
      </c>
    </row>
    <row r="370" spans="1:14" hidden="1" x14ac:dyDescent="0.25">
      <c r="A370">
        <v>339</v>
      </c>
      <c r="B370" s="112">
        <v>55944</v>
      </c>
      <c r="C370" s="111">
        <f t="shared" si="43"/>
        <v>234394.37538396832</v>
      </c>
      <c r="D370" s="111">
        <f t="shared" si="44"/>
        <v>207294.38681116959</v>
      </c>
      <c r="E370" s="111">
        <f t="shared" si="49"/>
        <v>27099.988572798728</v>
      </c>
      <c r="F370" s="111">
        <f t="shared" si="50"/>
        <v>13513171.493370963</v>
      </c>
      <c r="J370" s="121">
        <v>55944</v>
      </c>
      <c r="K370" s="103">
        <f t="shared" si="45"/>
        <v>255091.40610574093</v>
      </c>
      <c r="L370" s="103">
        <f t="shared" si="46"/>
        <v>230694.38450798512</v>
      </c>
      <c r="M370" s="103">
        <f t="shared" si="47"/>
        <v>24397.021597755811</v>
      </c>
      <c r="N370" s="103">
        <f t="shared" si="48"/>
        <v>13817266.0488814</v>
      </c>
    </row>
    <row r="371" spans="1:14" hidden="1" x14ac:dyDescent="0.25">
      <c r="A371">
        <v>340</v>
      </c>
      <c r="B371" s="112">
        <v>55975</v>
      </c>
      <c r="C371" s="111">
        <f t="shared" si="43"/>
        <v>234394.37538396832</v>
      </c>
      <c r="D371" s="111">
        <f t="shared" si="44"/>
        <v>206879.50033557127</v>
      </c>
      <c r="E371" s="111">
        <f t="shared" si="49"/>
        <v>27514.875048397051</v>
      </c>
      <c r="F371" s="111">
        <f t="shared" si="50"/>
        <v>13485656.618322566</v>
      </c>
      <c r="J371" s="121">
        <v>55975</v>
      </c>
      <c r="K371" s="103">
        <f t="shared" si="45"/>
        <v>255091.40610574093</v>
      </c>
      <c r="L371" s="103">
        <f t="shared" si="46"/>
        <v>230287.76748135584</v>
      </c>
      <c r="M371" s="103">
        <f t="shared" si="47"/>
        <v>24803.638624385087</v>
      </c>
      <c r="N371" s="103">
        <f t="shared" si="48"/>
        <v>13792462.410257015</v>
      </c>
    </row>
    <row r="372" spans="1:14" hidden="1" x14ac:dyDescent="0.25">
      <c r="A372">
        <v>341</v>
      </c>
      <c r="B372" s="112">
        <v>56005</v>
      </c>
      <c r="C372" s="111">
        <f t="shared" si="43"/>
        <v>234394.37538396832</v>
      </c>
      <c r="D372" s="111">
        <f t="shared" si="44"/>
        <v>206458.26216771404</v>
      </c>
      <c r="E372" s="111">
        <f t="shared" si="49"/>
        <v>27936.113216254278</v>
      </c>
      <c r="F372" s="111">
        <f t="shared" si="50"/>
        <v>13457720.505106311</v>
      </c>
      <c r="J372" s="121">
        <v>56005</v>
      </c>
      <c r="K372" s="103">
        <f t="shared" si="45"/>
        <v>255091.40610574093</v>
      </c>
      <c r="L372" s="103">
        <f t="shared" si="46"/>
        <v>229874.37350428276</v>
      </c>
      <c r="M372" s="103">
        <f t="shared" si="47"/>
        <v>25217.032601458166</v>
      </c>
      <c r="N372" s="103">
        <f t="shared" si="48"/>
        <v>13767245.377655556</v>
      </c>
    </row>
    <row r="373" spans="1:14" hidden="1" x14ac:dyDescent="0.25">
      <c r="A373">
        <v>342</v>
      </c>
      <c r="B373" s="112">
        <v>56036</v>
      </c>
      <c r="C373" s="111">
        <f t="shared" si="43"/>
        <v>234394.37538396832</v>
      </c>
      <c r="D373" s="111">
        <f t="shared" si="44"/>
        <v>206030.57506655264</v>
      </c>
      <c r="E373" s="111">
        <f t="shared" si="49"/>
        <v>28363.800317415677</v>
      </c>
      <c r="F373" s="111">
        <f t="shared" si="50"/>
        <v>13429356.704788895</v>
      </c>
      <c r="J373" s="121">
        <v>56036</v>
      </c>
      <c r="K373" s="103">
        <f t="shared" si="45"/>
        <v>255091.40610574093</v>
      </c>
      <c r="L373" s="103">
        <f t="shared" si="46"/>
        <v>229454.08962759181</v>
      </c>
      <c r="M373" s="103">
        <f t="shared" si="47"/>
        <v>25637.316478149121</v>
      </c>
      <c r="N373" s="103">
        <f t="shared" si="48"/>
        <v>13741608.061177406</v>
      </c>
    </row>
    <row r="374" spans="1:14" hidden="1" x14ac:dyDescent="0.25">
      <c r="A374">
        <v>343</v>
      </c>
      <c r="B374" s="112">
        <v>56066</v>
      </c>
      <c r="C374" s="111">
        <f t="shared" si="43"/>
        <v>234394.37538396832</v>
      </c>
      <c r="D374" s="111">
        <f t="shared" si="44"/>
        <v>205596.34030233289</v>
      </c>
      <c r="E374" s="111">
        <f t="shared" si="49"/>
        <v>28798.035081635433</v>
      </c>
      <c r="F374" s="111">
        <f t="shared" si="50"/>
        <v>13400558.669707259</v>
      </c>
      <c r="J374" s="121">
        <v>56066</v>
      </c>
      <c r="K374" s="103">
        <f t="shared" si="45"/>
        <v>255091.40610574093</v>
      </c>
      <c r="L374" s="103">
        <f t="shared" si="46"/>
        <v>229026.80101962262</v>
      </c>
      <c r="M374" s="103">
        <f t="shared" si="47"/>
        <v>26064.605086118303</v>
      </c>
      <c r="N374" s="103">
        <f t="shared" si="48"/>
        <v>13715543.456091288</v>
      </c>
    </row>
    <row r="375" spans="1:14" hidden="1" x14ac:dyDescent="0.25">
      <c r="A375">
        <v>344</v>
      </c>
      <c r="B375" s="112">
        <v>56097</v>
      </c>
      <c r="C375" s="111">
        <f t="shared" si="43"/>
        <v>234394.37538396832</v>
      </c>
      <c r="D375" s="111">
        <f t="shared" si="44"/>
        <v>205155.45763380037</v>
      </c>
      <c r="E375" s="111">
        <f t="shared" si="49"/>
        <v>29238.917750167951</v>
      </c>
      <c r="F375" s="111">
        <f t="shared" si="50"/>
        <v>13371319.751957091</v>
      </c>
      <c r="J375" s="121">
        <v>56097</v>
      </c>
      <c r="K375" s="103">
        <f t="shared" si="45"/>
        <v>255091.40610574093</v>
      </c>
      <c r="L375" s="103">
        <f t="shared" si="46"/>
        <v>228592.39093485399</v>
      </c>
      <c r="M375" s="103">
        <f t="shared" si="47"/>
        <v>26499.015170886938</v>
      </c>
      <c r="N375" s="103">
        <f t="shared" si="48"/>
        <v>13689044.440920401</v>
      </c>
    </row>
    <row r="376" spans="1:14" hidden="1" x14ac:dyDescent="0.25">
      <c r="A376">
        <v>345</v>
      </c>
      <c r="B376" s="112">
        <v>56128</v>
      </c>
      <c r="C376" s="111">
        <f t="shared" si="43"/>
        <v>234394.37538396832</v>
      </c>
      <c r="D376" s="111">
        <f t="shared" si="44"/>
        <v>204707.8252850601</v>
      </c>
      <c r="E376" s="111">
        <f t="shared" si="49"/>
        <v>29686.550098908221</v>
      </c>
      <c r="F376" s="111">
        <f t="shared" si="50"/>
        <v>13341633.201858182</v>
      </c>
      <c r="J376" s="121">
        <v>56128</v>
      </c>
      <c r="K376" s="103">
        <f t="shared" si="45"/>
        <v>255091.40610574093</v>
      </c>
      <c r="L376" s="103">
        <f t="shared" si="46"/>
        <v>228150.74068200588</v>
      </c>
      <c r="M376" s="103">
        <f t="shared" si="47"/>
        <v>26940.665423735045</v>
      </c>
      <c r="N376" s="103">
        <f t="shared" si="48"/>
        <v>13662103.775496665</v>
      </c>
    </row>
    <row r="377" spans="1:14" hidden="1" x14ac:dyDescent="0.25">
      <c r="A377">
        <v>346</v>
      </c>
      <c r="B377" s="112">
        <v>56158</v>
      </c>
      <c r="C377" s="111">
        <f t="shared" si="43"/>
        <v>234394.37538396832</v>
      </c>
      <c r="D377" s="111">
        <f t="shared" si="44"/>
        <v>204253.33992208206</v>
      </c>
      <c r="E377" s="111">
        <f t="shared" si="49"/>
        <v>30141.035461886262</v>
      </c>
      <c r="F377" s="111">
        <f t="shared" si="50"/>
        <v>13311492.166396296</v>
      </c>
      <c r="J377" s="121">
        <v>56158</v>
      </c>
      <c r="K377" s="103">
        <f t="shared" si="45"/>
        <v>255091.40610574093</v>
      </c>
      <c r="L377" s="103">
        <f t="shared" si="46"/>
        <v>227701.72959161029</v>
      </c>
      <c r="M377" s="103">
        <f t="shared" si="47"/>
        <v>27389.676514130639</v>
      </c>
      <c r="N377" s="103">
        <f t="shared" si="48"/>
        <v>13634714.098982535</v>
      </c>
    </row>
    <row r="378" spans="1:14" hidden="1" x14ac:dyDescent="0.25">
      <c r="A378">
        <v>347</v>
      </c>
      <c r="B378" s="112">
        <v>56189</v>
      </c>
      <c r="C378" s="111">
        <f t="shared" si="43"/>
        <v>234394.37538396832</v>
      </c>
      <c r="D378" s="111">
        <f t="shared" si="44"/>
        <v>203791.89662884694</v>
      </c>
      <c r="E378" s="111">
        <f t="shared" si="49"/>
        <v>30602.478755121381</v>
      </c>
      <c r="F378" s="111">
        <f t="shared" si="50"/>
        <v>13280889.687641174</v>
      </c>
      <c r="J378" s="121">
        <v>56189</v>
      </c>
      <c r="K378" s="103">
        <f t="shared" si="45"/>
        <v>255091.40610574093</v>
      </c>
      <c r="L378" s="103">
        <f t="shared" si="46"/>
        <v>227245.23498304145</v>
      </c>
      <c r="M378" s="103">
        <f t="shared" si="47"/>
        <v>27846.171122699481</v>
      </c>
      <c r="N378" s="103">
        <f t="shared" si="48"/>
        <v>13606867.927859835</v>
      </c>
    </row>
    <row r="379" spans="1:14" hidden="1" x14ac:dyDescent="0.25">
      <c r="A379">
        <v>348</v>
      </c>
      <c r="B379" s="112">
        <v>56219</v>
      </c>
      <c r="C379" s="111">
        <f t="shared" si="43"/>
        <v>234394.37538396832</v>
      </c>
      <c r="D379" s="111">
        <f t="shared" si="44"/>
        <v>203323.38888312675</v>
      </c>
      <c r="E379" s="111">
        <f t="shared" si="49"/>
        <v>31070.986500841565</v>
      </c>
      <c r="F379" s="111">
        <f t="shared" si="50"/>
        <v>13249818.701140333</v>
      </c>
      <c r="J379" s="121">
        <v>56219</v>
      </c>
      <c r="K379" s="103">
        <f t="shared" si="45"/>
        <v>255091.40610574093</v>
      </c>
      <c r="L379" s="103">
        <f t="shared" si="46"/>
        <v>226781.13213099644</v>
      </c>
      <c r="M379" s="103">
        <f t="shared" si="47"/>
        <v>28310.273974744487</v>
      </c>
      <c r="N379" s="103">
        <f t="shared" si="48"/>
        <v>13578557.653885091</v>
      </c>
    </row>
    <row r="380" spans="1:14" hidden="1" x14ac:dyDescent="0.25">
      <c r="A380">
        <v>349</v>
      </c>
      <c r="B380" s="112">
        <v>56250</v>
      </c>
      <c r="C380" s="111">
        <f t="shared" si="43"/>
        <v>234394.37538396832</v>
      </c>
      <c r="D380" s="111">
        <f t="shared" si="44"/>
        <v>202847.7085318946</v>
      </c>
      <c r="E380" s="111">
        <f t="shared" si="49"/>
        <v>31546.666852073715</v>
      </c>
      <c r="F380" s="111">
        <f t="shared" si="50"/>
        <v>13218272.034288259</v>
      </c>
      <c r="J380" s="121">
        <v>56250</v>
      </c>
      <c r="K380" s="103">
        <f t="shared" si="45"/>
        <v>255091.40610574093</v>
      </c>
      <c r="L380" s="103">
        <f t="shared" si="46"/>
        <v>226309.29423141739</v>
      </c>
      <c r="M380" s="103">
        <f t="shared" si="47"/>
        <v>28782.111874323542</v>
      </c>
      <c r="N380" s="103">
        <f t="shared" si="48"/>
        <v>13549775.542010767</v>
      </c>
    </row>
    <row r="381" spans="1:14" hidden="1" x14ac:dyDescent="0.25">
      <c r="A381">
        <v>350</v>
      </c>
      <c r="B381" s="112">
        <v>56281</v>
      </c>
      <c r="C381" s="111">
        <f t="shared" si="43"/>
        <v>234394.37538396832</v>
      </c>
      <c r="D381" s="111">
        <f t="shared" si="44"/>
        <v>202364.74576635793</v>
      </c>
      <c r="E381" s="111">
        <f t="shared" si="49"/>
        <v>32029.629617610393</v>
      </c>
      <c r="F381" s="111">
        <f t="shared" si="50"/>
        <v>13186242.404670648</v>
      </c>
      <c r="J381" s="121">
        <v>56281</v>
      </c>
      <c r="K381" s="103">
        <f t="shared" si="45"/>
        <v>255091.40610574093</v>
      </c>
      <c r="L381" s="103">
        <f t="shared" si="46"/>
        <v>225829.59236684532</v>
      </c>
      <c r="M381" s="103">
        <f t="shared" si="47"/>
        <v>29261.813738895609</v>
      </c>
      <c r="N381" s="103">
        <f t="shared" si="48"/>
        <v>13520513.728271872</v>
      </c>
    </row>
    <row r="382" spans="1:14" hidden="1" x14ac:dyDescent="0.25">
      <c r="A382">
        <v>351</v>
      </c>
      <c r="B382" s="112">
        <v>56309</v>
      </c>
      <c r="C382" s="111">
        <f t="shared" si="43"/>
        <v>234394.37538396832</v>
      </c>
      <c r="D382" s="111">
        <f t="shared" si="44"/>
        <v>201874.38909660978</v>
      </c>
      <c r="E382" s="111">
        <f t="shared" si="49"/>
        <v>32519.986287358537</v>
      </c>
      <c r="F382" s="111">
        <f t="shared" si="50"/>
        <v>13153722.418383289</v>
      </c>
      <c r="J382" s="121">
        <v>56309</v>
      </c>
      <c r="K382" s="103">
        <f t="shared" si="45"/>
        <v>255091.40610574093</v>
      </c>
      <c r="L382" s="103">
        <f t="shared" si="46"/>
        <v>225341.89547119706</v>
      </c>
      <c r="M382" s="103">
        <f t="shared" si="47"/>
        <v>29749.510634543869</v>
      </c>
      <c r="N382" s="103">
        <f t="shared" si="48"/>
        <v>13490764.217637328</v>
      </c>
    </row>
    <row r="383" spans="1:14" hidden="1" x14ac:dyDescent="0.25">
      <c r="A383">
        <v>352</v>
      </c>
      <c r="B383" s="112">
        <v>56340</v>
      </c>
      <c r="C383" s="111">
        <f t="shared" si="43"/>
        <v>234394.37538396832</v>
      </c>
      <c r="D383" s="111">
        <f t="shared" si="44"/>
        <v>201376.52532589179</v>
      </c>
      <c r="E383" s="111">
        <f t="shared" si="49"/>
        <v>33017.850058076525</v>
      </c>
      <c r="F383" s="111">
        <f t="shared" si="50"/>
        <v>13120704.568325212</v>
      </c>
      <c r="J383" s="121">
        <v>56340</v>
      </c>
      <c r="K383" s="103">
        <f t="shared" si="45"/>
        <v>255091.40610574093</v>
      </c>
      <c r="L383" s="103">
        <f t="shared" si="46"/>
        <v>224846.07029395466</v>
      </c>
      <c r="M383" s="103">
        <f t="shared" si="47"/>
        <v>30245.335811786266</v>
      </c>
      <c r="N383" s="103">
        <f t="shared" si="48"/>
        <v>13460518.881825542</v>
      </c>
    </row>
    <row r="384" spans="1:14" hidden="1" x14ac:dyDescent="0.25">
      <c r="A384">
        <v>353</v>
      </c>
      <c r="B384" s="112">
        <v>56370</v>
      </c>
      <c r="C384" s="111">
        <f t="shared" si="43"/>
        <v>234394.37538396832</v>
      </c>
      <c r="D384" s="111">
        <f t="shared" si="44"/>
        <v>200871.03952446312</v>
      </c>
      <c r="E384" s="111">
        <f t="shared" si="49"/>
        <v>33523.335859505198</v>
      </c>
      <c r="F384" s="111">
        <f t="shared" si="50"/>
        <v>13087181.232465707</v>
      </c>
      <c r="J384" s="121">
        <v>56370</v>
      </c>
      <c r="K384" s="103">
        <f t="shared" si="45"/>
        <v>255091.40610574093</v>
      </c>
      <c r="L384" s="103">
        <f t="shared" si="46"/>
        <v>224341.98136375824</v>
      </c>
      <c r="M384" s="103">
        <f t="shared" si="47"/>
        <v>30749.424741982686</v>
      </c>
      <c r="N384" s="103">
        <f t="shared" si="48"/>
        <v>13429769.457083559</v>
      </c>
    </row>
    <row r="385" spans="1:14" hidden="1" x14ac:dyDescent="0.25">
      <c r="A385">
        <v>354</v>
      </c>
      <c r="B385" s="112">
        <v>56401</v>
      </c>
      <c r="C385" s="111">
        <f t="shared" si="43"/>
        <v>234394.37538396832</v>
      </c>
      <c r="D385" s="111">
        <f t="shared" si="44"/>
        <v>200357.81500306944</v>
      </c>
      <c r="E385" s="111">
        <f t="shared" si="49"/>
        <v>34036.560380898882</v>
      </c>
      <c r="F385" s="111">
        <f t="shared" si="50"/>
        <v>13053144.672084808</v>
      </c>
      <c r="J385" s="121">
        <v>56401</v>
      </c>
      <c r="K385" s="103">
        <f t="shared" si="45"/>
        <v>255091.40610574093</v>
      </c>
      <c r="L385" s="103">
        <f t="shared" si="46"/>
        <v>223829.49095139184</v>
      </c>
      <c r="M385" s="103">
        <f t="shared" si="47"/>
        <v>31261.915154349088</v>
      </c>
      <c r="N385" s="103">
        <f t="shared" si="48"/>
        <v>13398507.54192921</v>
      </c>
    </row>
    <row r="386" spans="1:14" hidden="1" x14ac:dyDescent="0.25">
      <c r="A386">
        <v>355</v>
      </c>
      <c r="B386" s="112">
        <v>56431</v>
      </c>
      <c r="C386" s="111">
        <f t="shared" si="43"/>
        <v>234394.37538396832</v>
      </c>
      <c r="D386" s="111">
        <f t="shared" si="44"/>
        <v>199836.73328600576</v>
      </c>
      <c r="E386" s="111">
        <f t="shared" si="49"/>
        <v>34557.642097962555</v>
      </c>
      <c r="F386" s="111">
        <f t="shared" si="50"/>
        <v>13018587.029986845</v>
      </c>
      <c r="J386" s="121">
        <v>56431</v>
      </c>
      <c r="K386" s="103">
        <f t="shared" si="45"/>
        <v>255091.40610574093</v>
      </c>
      <c r="L386" s="103">
        <f t="shared" si="46"/>
        <v>223308.45903215269</v>
      </c>
      <c r="M386" s="103">
        <f t="shared" si="47"/>
        <v>31782.947073588235</v>
      </c>
      <c r="N386" s="103">
        <f t="shared" si="48"/>
        <v>13366724.594855621</v>
      </c>
    </row>
    <row r="387" spans="1:14" hidden="1" x14ac:dyDescent="0.25">
      <c r="A387">
        <v>356</v>
      </c>
      <c r="B387" s="112">
        <v>56462</v>
      </c>
      <c r="C387" s="111">
        <f t="shared" si="43"/>
        <v>234394.37538396832</v>
      </c>
      <c r="D387" s="111">
        <f t="shared" si="44"/>
        <v>199307.67408376673</v>
      </c>
      <c r="E387" s="111">
        <f t="shared" si="49"/>
        <v>35086.701300201588</v>
      </c>
      <c r="F387" s="111">
        <f t="shared" si="50"/>
        <v>12983500.328686643</v>
      </c>
      <c r="J387" s="121">
        <v>56462</v>
      </c>
      <c r="K387" s="103">
        <f t="shared" si="45"/>
        <v>255091.40610574093</v>
      </c>
      <c r="L387" s="103">
        <f t="shared" si="46"/>
        <v>222778.74324759291</v>
      </c>
      <c r="M387" s="103">
        <f t="shared" si="47"/>
        <v>32312.662858148018</v>
      </c>
      <c r="N387" s="103">
        <f t="shared" si="48"/>
        <v>13334411.931997474</v>
      </c>
    </row>
    <row r="388" spans="1:14" hidden="1" x14ac:dyDescent="0.25">
      <c r="A388">
        <v>357</v>
      </c>
      <c r="B388" s="112">
        <v>56493</v>
      </c>
      <c r="C388" s="111">
        <f t="shared" si="43"/>
        <v>234394.37538396832</v>
      </c>
      <c r="D388" s="111">
        <f t="shared" si="44"/>
        <v>198770.5152652784</v>
      </c>
      <c r="E388" s="111">
        <f t="shared" si="49"/>
        <v>35623.860118689918</v>
      </c>
      <c r="F388" s="111">
        <f t="shared" si="50"/>
        <v>12947876.468567954</v>
      </c>
      <c r="J388" s="121">
        <v>56493</v>
      </c>
      <c r="K388" s="103">
        <f t="shared" si="45"/>
        <v>255091.40610574093</v>
      </c>
      <c r="L388" s="103">
        <f t="shared" si="46"/>
        <v>222240.19886662377</v>
      </c>
      <c r="M388" s="103">
        <f t="shared" si="47"/>
        <v>32851.207239117153</v>
      </c>
      <c r="N388" s="103">
        <f t="shared" si="48"/>
        <v>13301560.724758357</v>
      </c>
    </row>
    <row r="389" spans="1:14" hidden="1" x14ac:dyDescent="0.25">
      <c r="A389">
        <v>358</v>
      </c>
      <c r="B389" s="112">
        <v>56523</v>
      </c>
      <c r="C389" s="111">
        <f t="shared" si="43"/>
        <v>234394.37538396832</v>
      </c>
      <c r="D389" s="111">
        <f t="shared" si="44"/>
        <v>198225.13282970479</v>
      </c>
      <c r="E389" s="111">
        <f t="shared" si="49"/>
        <v>36169.242554263532</v>
      </c>
      <c r="F389" s="111">
        <f t="shared" si="50"/>
        <v>12911707.22601369</v>
      </c>
      <c r="J389" s="121">
        <v>56523</v>
      </c>
      <c r="K389" s="103">
        <f t="shared" si="45"/>
        <v>255091.40610574093</v>
      </c>
      <c r="L389" s="103">
        <f t="shared" si="46"/>
        <v>221692.67874597182</v>
      </c>
      <c r="M389" s="103">
        <f t="shared" si="47"/>
        <v>33398.727359769109</v>
      </c>
      <c r="N389" s="103">
        <f t="shared" si="48"/>
        <v>13268161.997398587</v>
      </c>
    </row>
    <row r="390" spans="1:14" hidden="1" x14ac:dyDescent="0.25">
      <c r="A390">
        <v>359</v>
      </c>
      <c r="B390" s="112">
        <v>56554</v>
      </c>
      <c r="C390" s="111">
        <f t="shared" si="43"/>
        <v>234394.37538396832</v>
      </c>
      <c r="D390" s="111">
        <f t="shared" si="44"/>
        <v>197671.40087782266</v>
      </c>
      <c r="E390" s="111">
        <f t="shared" si="49"/>
        <v>36722.974506145663</v>
      </c>
      <c r="F390" s="111">
        <f t="shared" si="50"/>
        <v>12874984.251507545</v>
      </c>
      <c r="J390" s="121">
        <v>56554</v>
      </c>
      <c r="K390" s="103">
        <f t="shared" si="45"/>
        <v>255091.40610574093</v>
      </c>
      <c r="L390" s="103">
        <f t="shared" si="46"/>
        <v>221136.03328997566</v>
      </c>
      <c r="M390" s="103">
        <f t="shared" si="47"/>
        <v>33955.372815765266</v>
      </c>
      <c r="N390" s="103">
        <f t="shared" si="48"/>
        <v>13234206.624582822</v>
      </c>
    </row>
    <row r="391" spans="1:14" hidden="1" x14ac:dyDescent="0.25">
      <c r="A391">
        <v>360</v>
      </c>
      <c r="B391" s="112">
        <v>56584</v>
      </c>
      <c r="C391" s="111">
        <f t="shared" si="43"/>
        <v>234394.37538396832</v>
      </c>
      <c r="D391" s="111">
        <f t="shared" si="44"/>
        <v>197109.19158295845</v>
      </c>
      <c r="E391" s="111">
        <f t="shared" si="49"/>
        <v>37285.183801009873</v>
      </c>
      <c r="F391" s="111">
        <f t="shared" si="50"/>
        <v>12837699.067706535</v>
      </c>
      <c r="J391" s="121">
        <v>56584</v>
      </c>
      <c r="K391" s="103">
        <f t="shared" si="45"/>
        <v>255091.40610574093</v>
      </c>
      <c r="L391" s="103">
        <f t="shared" si="46"/>
        <v>220570.11040971291</v>
      </c>
      <c r="M391" s="103">
        <f t="shared" si="47"/>
        <v>34521.295696028013</v>
      </c>
      <c r="N391" s="103">
        <f t="shared" si="48"/>
        <v>13199685.328886794</v>
      </c>
    </row>
    <row r="392" spans="1:14" hidden="1" x14ac:dyDescent="0.25">
      <c r="A392">
        <v>361</v>
      </c>
      <c r="B392" s="112">
        <v>56615</v>
      </c>
      <c r="C392" s="111">
        <f t="shared" si="43"/>
        <v>234394.37538396832</v>
      </c>
      <c r="D392" s="111">
        <f t="shared" si="44"/>
        <v>196538.37516147984</v>
      </c>
      <c r="E392" s="111">
        <f t="shared" si="49"/>
        <v>37856.000222488481</v>
      </c>
      <c r="F392" s="111">
        <f t="shared" si="50"/>
        <v>12799843.067484045</v>
      </c>
      <c r="J392" s="121">
        <v>56615</v>
      </c>
      <c r="K392" s="103">
        <f t="shared" si="45"/>
        <v>255091.40610574093</v>
      </c>
      <c r="L392" s="103">
        <f t="shared" si="46"/>
        <v>219994.75548144578</v>
      </c>
      <c r="M392" s="103">
        <f t="shared" si="47"/>
        <v>35096.650624295144</v>
      </c>
      <c r="N392" s="103">
        <f t="shared" si="48"/>
        <v>13164588.678262498</v>
      </c>
    </row>
    <row r="393" spans="1:14" hidden="1" x14ac:dyDescent="0.25">
      <c r="A393">
        <v>362</v>
      </c>
      <c r="B393" s="112">
        <v>56646</v>
      </c>
      <c r="C393" s="111">
        <f t="shared" si="43"/>
        <v>234394.37538396832</v>
      </c>
      <c r="D393" s="111">
        <f t="shared" si="44"/>
        <v>195958.8198428358</v>
      </c>
      <c r="E393" s="111">
        <f t="shared" si="49"/>
        <v>38435.555541132519</v>
      </c>
      <c r="F393" s="111">
        <f t="shared" si="50"/>
        <v>12761407.511942914</v>
      </c>
      <c r="J393" s="121">
        <v>56646</v>
      </c>
      <c r="K393" s="103">
        <f t="shared" si="45"/>
        <v>255091.40610574093</v>
      </c>
      <c r="L393" s="103">
        <f t="shared" si="46"/>
        <v>219409.81130437419</v>
      </c>
      <c r="M393" s="103">
        <f t="shared" si="47"/>
        <v>35681.594801366737</v>
      </c>
      <c r="N393" s="103">
        <f t="shared" si="48"/>
        <v>13128907.083461132</v>
      </c>
    </row>
    <row r="394" spans="1:14" hidden="1" x14ac:dyDescent="0.25">
      <c r="A394">
        <v>363</v>
      </c>
      <c r="B394" s="112">
        <v>56674</v>
      </c>
      <c r="C394" s="111">
        <f t="shared" si="43"/>
        <v>234394.37538396832</v>
      </c>
      <c r="D394" s="111">
        <f t="shared" si="44"/>
        <v>195370.39183913809</v>
      </c>
      <c r="E394" s="111">
        <f t="shared" si="49"/>
        <v>39023.983544830233</v>
      </c>
      <c r="F394" s="111">
        <f t="shared" si="50"/>
        <v>12722383.528398084</v>
      </c>
      <c r="J394" s="121">
        <v>56674</v>
      </c>
      <c r="K394" s="103">
        <f t="shared" si="45"/>
        <v>255091.40610574093</v>
      </c>
      <c r="L394" s="103">
        <f t="shared" si="46"/>
        <v>218815.11805768474</v>
      </c>
      <c r="M394" s="103">
        <f t="shared" si="47"/>
        <v>36276.288048056187</v>
      </c>
      <c r="N394" s="103">
        <f t="shared" si="48"/>
        <v>13092630.795413075</v>
      </c>
    </row>
    <row r="395" spans="1:14" hidden="1" x14ac:dyDescent="0.25">
      <c r="A395">
        <v>364</v>
      </c>
      <c r="B395" s="112">
        <v>56705</v>
      </c>
      <c r="C395" s="111">
        <f t="shared" si="43"/>
        <v>234394.37538396832</v>
      </c>
      <c r="D395" s="111">
        <f t="shared" si="44"/>
        <v>194772.95531427651</v>
      </c>
      <c r="E395" s="111">
        <f t="shared" si="49"/>
        <v>39621.420069691812</v>
      </c>
      <c r="F395" s="111">
        <f t="shared" si="50"/>
        <v>12682762.108328391</v>
      </c>
      <c r="J395" s="121">
        <v>56705</v>
      </c>
      <c r="K395" s="103">
        <f t="shared" si="45"/>
        <v>255091.40610574093</v>
      </c>
      <c r="L395" s="103">
        <f t="shared" si="46"/>
        <v>218210.5132568838</v>
      </c>
      <c r="M395" s="103">
        <f t="shared" si="47"/>
        <v>36880.892848857126</v>
      </c>
      <c r="N395" s="103">
        <f t="shared" si="48"/>
        <v>13055749.902564218</v>
      </c>
    </row>
    <row r="396" spans="1:14" hidden="1" x14ac:dyDescent="0.25">
      <c r="A396">
        <v>365</v>
      </c>
      <c r="B396" s="112">
        <v>56735</v>
      </c>
      <c r="C396" s="111">
        <f t="shared" si="43"/>
        <v>234394.37538396832</v>
      </c>
      <c r="D396" s="111">
        <f t="shared" si="44"/>
        <v>194166.37235256209</v>
      </c>
      <c r="E396" s="111">
        <f t="shared" si="49"/>
        <v>40228.003031406231</v>
      </c>
      <c r="F396" s="111">
        <f t="shared" si="50"/>
        <v>12642534.105296984</v>
      </c>
      <c r="J396" s="121">
        <v>56735</v>
      </c>
      <c r="K396" s="103">
        <f t="shared" si="45"/>
        <v>255091.40610574093</v>
      </c>
      <c r="L396" s="103">
        <f t="shared" si="46"/>
        <v>217595.83170940288</v>
      </c>
      <c r="M396" s="103">
        <f t="shared" si="47"/>
        <v>37495.574396338052</v>
      </c>
      <c r="N396" s="103">
        <f t="shared" si="48"/>
        <v>13018254.32816788</v>
      </c>
    </row>
    <row r="397" spans="1:14" hidden="1" x14ac:dyDescent="0.25">
      <c r="A397">
        <v>366</v>
      </c>
      <c r="B397" s="112">
        <v>56766</v>
      </c>
      <c r="C397" s="111">
        <f t="shared" si="43"/>
        <v>234394.37538396832</v>
      </c>
      <c r="D397" s="111">
        <f t="shared" si="44"/>
        <v>193550.50292688966</v>
      </c>
      <c r="E397" s="111">
        <f t="shared" si="49"/>
        <v>40843.872457078658</v>
      </c>
      <c r="F397" s="111">
        <f t="shared" si="50"/>
        <v>12601690.232839905</v>
      </c>
      <c r="J397" s="121">
        <v>56766</v>
      </c>
      <c r="K397" s="103">
        <f t="shared" si="45"/>
        <v>255091.40610574093</v>
      </c>
      <c r="L397" s="103">
        <f t="shared" si="46"/>
        <v>216970.90546946391</v>
      </c>
      <c r="M397" s="103">
        <f t="shared" si="47"/>
        <v>38120.500636277022</v>
      </c>
      <c r="N397" s="103">
        <f t="shared" si="48"/>
        <v>12980133.827531602</v>
      </c>
    </row>
    <row r="398" spans="1:14" hidden="1" x14ac:dyDescent="0.25">
      <c r="A398">
        <v>367</v>
      </c>
      <c r="B398" s="112">
        <v>56796</v>
      </c>
      <c r="C398" s="111">
        <f t="shared" si="43"/>
        <v>234394.37538396832</v>
      </c>
      <c r="D398" s="111">
        <f t="shared" si="44"/>
        <v>192925.20486641323</v>
      </c>
      <c r="E398" s="111">
        <f t="shared" si="49"/>
        <v>41469.170517555089</v>
      </c>
      <c r="F398" s="111">
        <f t="shared" si="50"/>
        <v>12560221.06232235</v>
      </c>
      <c r="J398" s="121">
        <v>56796</v>
      </c>
      <c r="K398" s="103">
        <f t="shared" si="45"/>
        <v>255091.40610574093</v>
      </c>
      <c r="L398" s="103">
        <f t="shared" si="46"/>
        <v>216335.56379219261</v>
      </c>
      <c r="M398" s="103">
        <f t="shared" si="47"/>
        <v>38755.842313548317</v>
      </c>
      <c r="N398" s="103">
        <f t="shared" si="48"/>
        <v>12941377.985218054</v>
      </c>
    </row>
    <row r="399" spans="1:14" hidden="1" x14ac:dyDescent="0.25">
      <c r="A399">
        <v>368</v>
      </c>
      <c r="B399" s="112">
        <v>56827</v>
      </c>
      <c r="C399" s="111">
        <f t="shared" si="43"/>
        <v>234394.37538396832</v>
      </c>
      <c r="D399" s="111">
        <f t="shared" si="44"/>
        <v>192290.3338237264</v>
      </c>
      <c r="E399" s="111">
        <f t="shared" si="49"/>
        <v>42104.041560241923</v>
      </c>
      <c r="F399" s="111">
        <f t="shared" si="50"/>
        <v>12518117.020762108</v>
      </c>
      <c r="J399" s="121">
        <v>56827</v>
      </c>
      <c r="K399" s="103">
        <f t="shared" si="45"/>
        <v>255091.40610574093</v>
      </c>
      <c r="L399" s="103">
        <f t="shared" si="46"/>
        <v>215689.63308696679</v>
      </c>
      <c r="M399" s="103">
        <f t="shared" si="47"/>
        <v>39401.77301877414</v>
      </c>
      <c r="N399" s="103">
        <f t="shared" si="48"/>
        <v>12901976.21219928</v>
      </c>
    </row>
    <row r="400" spans="1:14" hidden="1" x14ac:dyDescent="0.25">
      <c r="A400">
        <v>369</v>
      </c>
      <c r="B400" s="112">
        <v>56858</v>
      </c>
      <c r="C400" s="111">
        <f t="shared" si="43"/>
        <v>234394.37538396832</v>
      </c>
      <c r="D400" s="111">
        <f t="shared" si="44"/>
        <v>191645.74324154042</v>
      </c>
      <c r="E400" s="111">
        <f t="shared" si="49"/>
        <v>42748.632142427901</v>
      </c>
      <c r="F400" s="111">
        <f t="shared" si="50"/>
        <v>12475368.38861968</v>
      </c>
      <c r="J400" s="121">
        <v>56858</v>
      </c>
      <c r="K400" s="103">
        <f t="shared" si="45"/>
        <v>255091.40610574093</v>
      </c>
      <c r="L400" s="103">
        <f t="shared" si="46"/>
        <v>215032.93686998723</v>
      </c>
      <c r="M400" s="103">
        <f t="shared" si="47"/>
        <v>40058.469235753699</v>
      </c>
      <c r="N400" s="103">
        <f t="shared" si="48"/>
        <v>12861917.742963526</v>
      </c>
    </row>
    <row r="401" spans="1:14" hidden="1" x14ac:dyDescent="0.25">
      <c r="A401">
        <v>370</v>
      </c>
      <c r="B401" s="112">
        <v>56888</v>
      </c>
      <c r="C401" s="111">
        <f t="shared" si="43"/>
        <v>234394.37538396832</v>
      </c>
      <c r="D401" s="111">
        <f t="shared" si="44"/>
        <v>190991.28431885206</v>
      </c>
      <c r="E401" s="111">
        <f t="shared" si="49"/>
        <v>43403.091065116256</v>
      </c>
      <c r="F401" s="111">
        <f t="shared" si="50"/>
        <v>12431965.297554564</v>
      </c>
      <c r="J401" s="121">
        <v>56888</v>
      </c>
      <c r="K401" s="103">
        <f t="shared" si="45"/>
        <v>255091.40610574093</v>
      </c>
      <c r="L401" s="103">
        <f t="shared" si="46"/>
        <v>214365.295716058</v>
      </c>
      <c r="M401" s="103">
        <f t="shared" si="47"/>
        <v>40726.11038968293</v>
      </c>
      <c r="N401" s="103">
        <f t="shared" si="48"/>
        <v>12821191.632573843</v>
      </c>
    </row>
    <row r="402" spans="1:14" hidden="1" x14ac:dyDescent="0.25">
      <c r="A402">
        <v>371</v>
      </c>
      <c r="B402" s="112">
        <v>56919</v>
      </c>
      <c r="C402" s="111">
        <f t="shared" si="43"/>
        <v>234394.37538396832</v>
      </c>
      <c r="D402" s="111">
        <f t="shared" si="44"/>
        <v>190326.80597659352</v>
      </c>
      <c r="E402" s="111">
        <f t="shared" si="49"/>
        <v>44067.569407374802</v>
      </c>
      <c r="F402" s="111">
        <f t="shared" si="50"/>
        <v>12387897.728147188</v>
      </c>
      <c r="J402" s="121">
        <v>56919</v>
      </c>
      <c r="K402" s="103">
        <f t="shared" si="45"/>
        <v>255091.40610574093</v>
      </c>
      <c r="L402" s="103">
        <f t="shared" si="46"/>
        <v>213686.5272095633</v>
      </c>
      <c r="M402" s="103">
        <f t="shared" si="47"/>
        <v>41404.87889617763</v>
      </c>
      <c r="N402" s="103">
        <f t="shared" si="48"/>
        <v>12779786.753677666</v>
      </c>
    </row>
    <row r="403" spans="1:14" hidden="1" x14ac:dyDescent="0.25">
      <c r="A403">
        <v>372</v>
      </c>
      <c r="B403" s="112">
        <v>56949</v>
      </c>
      <c r="C403" s="111">
        <f t="shared" si="43"/>
        <v>234394.37538396832</v>
      </c>
      <c r="D403" s="111">
        <f t="shared" si="44"/>
        <v>189652.15482275645</v>
      </c>
      <c r="E403" s="111">
        <f t="shared" si="49"/>
        <v>44742.220561211871</v>
      </c>
      <c r="F403" s="111">
        <f t="shared" si="50"/>
        <v>12343155.507585976</v>
      </c>
      <c r="J403" s="121">
        <v>56949</v>
      </c>
      <c r="K403" s="103">
        <f t="shared" si="45"/>
        <v>255091.40610574093</v>
      </c>
      <c r="L403" s="103">
        <f t="shared" si="46"/>
        <v>212996.44589462702</v>
      </c>
      <c r="M403" s="103">
        <f t="shared" si="47"/>
        <v>42094.96021111391</v>
      </c>
      <c r="N403" s="103">
        <f t="shared" si="48"/>
        <v>12737691.793466553</v>
      </c>
    </row>
    <row r="404" spans="1:14" hidden="1" x14ac:dyDescent="0.25">
      <c r="A404">
        <v>373</v>
      </c>
      <c r="B404" s="112">
        <v>56980</v>
      </c>
      <c r="C404" s="111">
        <f t="shared" si="43"/>
        <v>234394.37538396832</v>
      </c>
      <c r="D404" s="111">
        <f t="shared" si="44"/>
        <v>188967.17511698211</v>
      </c>
      <c r="E404" s="111">
        <f t="shared" si="49"/>
        <v>45427.200266986212</v>
      </c>
      <c r="F404" s="111">
        <f t="shared" si="50"/>
        <v>12297728.307318989</v>
      </c>
      <c r="J404" s="121">
        <v>56980</v>
      </c>
      <c r="K404" s="103">
        <f t="shared" si="45"/>
        <v>255091.40610574093</v>
      </c>
      <c r="L404" s="103">
        <f t="shared" si="46"/>
        <v>212294.8632244418</v>
      </c>
      <c r="M404" s="103">
        <f t="shared" si="47"/>
        <v>42796.54288129913</v>
      </c>
      <c r="N404" s="103">
        <f t="shared" si="48"/>
        <v>12694895.250585254</v>
      </c>
    </row>
    <row r="405" spans="1:14" hidden="1" x14ac:dyDescent="0.25">
      <c r="A405">
        <v>374</v>
      </c>
      <c r="B405" s="112">
        <v>57011</v>
      </c>
      <c r="C405" s="111">
        <f t="shared" si="43"/>
        <v>234394.37538396832</v>
      </c>
      <c r="D405" s="111">
        <f t="shared" si="44"/>
        <v>188271.70873460927</v>
      </c>
      <c r="E405" s="111">
        <f t="shared" si="49"/>
        <v>46122.666649359046</v>
      </c>
      <c r="F405" s="111">
        <f t="shared" si="50"/>
        <v>12251605.640669631</v>
      </c>
      <c r="J405" s="121">
        <v>57011</v>
      </c>
      <c r="K405" s="103">
        <f t="shared" si="45"/>
        <v>255091.40610574093</v>
      </c>
      <c r="L405" s="103">
        <f t="shared" si="46"/>
        <v>211581.58750975347</v>
      </c>
      <c r="M405" s="103">
        <f t="shared" si="47"/>
        <v>43509.818595987454</v>
      </c>
      <c r="N405" s="103">
        <f t="shared" si="48"/>
        <v>12651385.431989267</v>
      </c>
    </row>
    <row r="406" spans="1:14" hidden="1" x14ac:dyDescent="0.25">
      <c r="A406">
        <v>375</v>
      </c>
      <c r="B406" s="112">
        <v>57040</v>
      </c>
      <c r="C406" s="111">
        <f t="shared" si="43"/>
        <v>234394.37538396832</v>
      </c>
      <c r="D406" s="111">
        <f t="shared" si="44"/>
        <v>187565.59513017201</v>
      </c>
      <c r="E406" s="111">
        <f t="shared" si="49"/>
        <v>46828.780253796314</v>
      </c>
      <c r="F406" s="111">
        <f t="shared" si="50"/>
        <v>12204776.860415835</v>
      </c>
      <c r="J406" s="121">
        <v>57040</v>
      </c>
      <c r="K406" s="103">
        <f t="shared" si="45"/>
        <v>255091.40610574093</v>
      </c>
      <c r="L406" s="103">
        <f t="shared" si="46"/>
        <v>210856.42386648705</v>
      </c>
      <c r="M406" s="103">
        <f t="shared" si="47"/>
        <v>44234.982239253877</v>
      </c>
      <c r="N406" s="103">
        <f t="shared" si="48"/>
        <v>12607150.449750014</v>
      </c>
    </row>
    <row r="407" spans="1:14" hidden="1" x14ac:dyDescent="0.25">
      <c r="A407">
        <v>376</v>
      </c>
      <c r="B407" s="112">
        <v>57071</v>
      </c>
      <c r="C407" s="111">
        <f t="shared" si="43"/>
        <v>234394.37538396832</v>
      </c>
      <c r="D407" s="111">
        <f t="shared" si="44"/>
        <v>186848.67130033812</v>
      </c>
      <c r="E407" s="111">
        <f t="shared" si="49"/>
        <v>47545.704083630204</v>
      </c>
      <c r="F407" s="111">
        <f t="shared" si="50"/>
        <v>12157231.156332204</v>
      </c>
      <c r="J407" s="121">
        <v>57071</v>
      </c>
      <c r="K407" s="103">
        <f t="shared" si="45"/>
        <v>255091.40610574093</v>
      </c>
      <c r="L407" s="103">
        <f t="shared" si="46"/>
        <v>210119.17416249949</v>
      </c>
      <c r="M407" s="103">
        <f t="shared" si="47"/>
        <v>44972.231943241437</v>
      </c>
      <c r="N407" s="103">
        <f t="shared" si="48"/>
        <v>12562178.217806771</v>
      </c>
    </row>
    <row r="408" spans="1:14" hidden="1" x14ac:dyDescent="0.25">
      <c r="A408">
        <v>377</v>
      </c>
      <c r="B408" s="112">
        <v>57101</v>
      </c>
      <c r="C408" s="111">
        <f t="shared" si="43"/>
        <v>234394.37538396832</v>
      </c>
      <c r="D408" s="111">
        <f t="shared" si="44"/>
        <v>186120.77174628081</v>
      </c>
      <c r="E408" s="111">
        <f t="shared" si="49"/>
        <v>48273.603637687513</v>
      </c>
      <c r="F408" s="111">
        <f t="shared" si="50"/>
        <v>12108957.552694516</v>
      </c>
      <c r="J408" s="121">
        <v>57101</v>
      </c>
      <c r="K408" s="103">
        <f t="shared" si="45"/>
        <v>255091.40610574093</v>
      </c>
      <c r="L408" s="103">
        <f t="shared" si="46"/>
        <v>209369.63696344546</v>
      </c>
      <c r="M408" s="103">
        <f t="shared" si="47"/>
        <v>45721.769142295467</v>
      </c>
      <c r="N408" s="103">
        <f t="shared" si="48"/>
        <v>12516456.448664475</v>
      </c>
    </row>
    <row r="409" spans="1:14" hidden="1" x14ac:dyDescent="0.25">
      <c r="A409">
        <v>378</v>
      </c>
      <c r="B409" s="112">
        <v>57132</v>
      </c>
      <c r="C409" s="111">
        <f t="shared" si="43"/>
        <v>234394.37538396832</v>
      </c>
      <c r="D409" s="111">
        <f t="shared" si="44"/>
        <v>185381.72843547392</v>
      </c>
      <c r="E409" s="111">
        <f t="shared" si="49"/>
        <v>49012.646948494395</v>
      </c>
      <c r="F409" s="111">
        <f t="shared" si="50"/>
        <v>12059944.905746022</v>
      </c>
      <c r="J409" s="121">
        <v>57132</v>
      </c>
      <c r="K409" s="103">
        <f t="shared" si="45"/>
        <v>255091.40610574093</v>
      </c>
      <c r="L409" s="103">
        <f t="shared" si="46"/>
        <v>208607.6074777405</v>
      </c>
      <c r="M409" s="103">
        <f t="shared" si="47"/>
        <v>46483.798628000426</v>
      </c>
      <c r="N409" s="103">
        <f t="shared" si="48"/>
        <v>12469972.650036475</v>
      </c>
    </row>
    <row r="410" spans="1:14" hidden="1" x14ac:dyDescent="0.25">
      <c r="A410">
        <v>379</v>
      </c>
      <c r="B410" s="112">
        <v>57162</v>
      </c>
      <c r="C410" s="111">
        <f t="shared" si="43"/>
        <v>234394.37538396832</v>
      </c>
      <c r="D410" s="111">
        <f t="shared" si="44"/>
        <v>184631.3707629022</v>
      </c>
      <c r="E410" s="111">
        <f t="shared" si="49"/>
        <v>49763.004621066124</v>
      </c>
      <c r="F410" s="111">
        <f t="shared" si="50"/>
        <v>12010181.901124956</v>
      </c>
      <c r="J410" s="121">
        <v>57162</v>
      </c>
      <c r="K410" s="103">
        <f t="shared" si="45"/>
        <v>255091.40610574093</v>
      </c>
      <c r="L410" s="103">
        <f t="shared" si="46"/>
        <v>207832.87750060717</v>
      </c>
      <c r="M410" s="103">
        <f t="shared" si="47"/>
        <v>47258.528605133761</v>
      </c>
      <c r="N410" s="103">
        <f t="shared" si="48"/>
        <v>12422714.121431341</v>
      </c>
    </row>
    <row r="411" spans="1:14" hidden="1" x14ac:dyDescent="0.25">
      <c r="A411">
        <v>380</v>
      </c>
      <c r="B411" s="112">
        <v>57193</v>
      </c>
      <c r="C411" s="111">
        <f t="shared" si="43"/>
        <v>234394.37538396832</v>
      </c>
      <c r="D411" s="111">
        <f t="shared" si="44"/>
        <v>183869.52551167802</v>
      </c>
      <c r="E411" s="111">
        <f t="shared" si="49"/>
        <v>50524.849872290302</v>
      </c>
      <c r="F411" s="111">
        <f t="shared" si="50"/>
        <v>11959657.051252665</v>
      </c>
      <c r="J411" s="121">
        <v>57193</v>
      </c>
      <c r="K411" s="103">
        <f t="shared" si="45"/>
        <v>255091.40610574093</v>
      </c>
      <c r="L411" s="103">
        <f t="shared" si="46"/>
        <v>207045.2353571883</v>
      </c>
      <c r="M411" s="103">
        <f t="shared" si="47"/>
        <v>48046.170748552628</v>
      </c>
      <c r="N411" s="103">
        <f t="shared" si="48"/>
        <v>12374667.950682789</v>
      </c>
    </row>
    <row r="412" spans="1:14" hidden="1" x14ac:dyDescent="0.25">
      <c r="A412">
        <v>381</v>
      </c>
      <c r="B412" s="112">
        <v>57224</v>
      </c>
      <c r="C412" s="111">
        <f t="shared" si="43"/>
        <v>234394.37538396832</v>
      </c>
      <c r="D412" s="111">
        <f t="shared" si="44"/>
        <v>183096.01681305483</v>
      </c>
      <c r="E412" s="111">
        <f t="shared" si="49"/>
        <v>51298.358570913493</v>
      </c>
      <c r="F412" s="111">
        <f t="shared" si="50"/>
        <v>11908358.692681752</v>
      </c>
      <c r="J412" s="121">
        <v>57224</v>
      </c>
      <c r="K412" s="103">
        <f t="shared" si="45"/>
        <v>255091.40610574093</v>
      </c>
      <c r="L412" s="103">
        <f t="shared" si="46"/>
        <v>206244.46584471242</v>
      </c>
      <c r="M412" s="103">
        <f t="shared" si="47"/>
        <v>48846.940261028503</v>
      </c>
      <c r="N412" s="103">
        <f t="shared" si="48"/>
        <v>12325821.01042176</v>
      </c>
    </row>
    <row r="413" spans="1:14" hidden="1" x14ac:dyDescent="0.25">
      <c r="A413">
        <v>382</v>
      </c>
      <c r="B413" s="112">
        <v>57254</v>
      </c>
      <c r="C413" s="111">
        <f t="shared" si="43"/>
        <v>234394.37538396832</v>
      </c>
      <c r="D413" s="111">
        <f t="shared" si="44"/>
        <v>182310.6661058288</v>
      </c>
      <c r="E413" s="111">
        <f t="shared" si="49"/>
        <v>52083.709278139519</v>
      </c>
      <c r="F413" s="111">
        <f t="shared" si="50"/>
        <v>11856274.983403612</v>
      </c>
      <c r="J413" s="121">
        <v>57254</v>
      </c>
      <c r="K413" s="103">
        <f t="shared" si="45"/>
        <v>255091.40610574093</v>
      </c>
      <c r="L413" s="103">
        <f t="shared" si="46"/>
        <v>205430.35017369527</v>
      </c>
      <c r="M413" s="103">
        <f t="shared" si="47"/>
        <v>49661.055932045652</v>
      </c>
      <c r="N413" s="103">
        <f t="shared" si="48"/>
        <v>12276159.954489715</v>
      </c>
    </row>
    <row r="414" spans="1:14" hidden="1" x14ac:dyDescent="0.25">
      <c r="A414">
        <v>383</v>
      </c>
      <c r="B414" s="112">
        <v>57285</v>
      </c>
      <c r="C414" s="111">
        <f t="shared" si="43"/>
        <v>234394.37538396832</v>
      </c>
      <c r="D414" s="111">
        <f t="shared" si="44"/>
        <v>181513.29209511852</v>
      </c>
      <c r="E414" s="111">
        <f t="shared" si="49"/>
        <v>52881.083288849797</v>
      </c>
      <c r="F414" s="111">
        <f t="shared" si="50"/>
        <v>11803393.900114762</v>
      </c>
      <c r="J414" s="121">
        <v>57285</v>
      </c>
      <c r="K414" s="103">
        <f t="shared" si="45"/>
        <v>255091.40610574093</v>
      </c>
      <c r="L414" s="103">
        <f t="shared" si="46"/>
        <v>204602.6659081612</v>
      </c>
      <c r="M414" s="103">
        <f t="shared" si="47"/>
        <v>50488.740197579726</v>
      </c>
      <c r="N414" s="103">
        <f t="shared" si="48"/>
        <v>12225671.214292135</v>
      </c>
    </row>
    <row r="415" spans="1:14" hidden="1" x14ac:dyDescent="0.25">
      <c r="A415">
        <v>384</v>
      </c>
      <c r="B415" s="112">
        <v>57315</v>
      </c>
      <c r="C415" s="111">
        <f t="shared" si="43"/>
        <v>234394.37538396832</v>
      </c>
      <c r="D415" s="111">
        <f t="shared" si="44"/>
        <v>180703.71071051405</v>
      </c>
      <c r="E415" s="111">
        <f t="shared" si="49"/>
        <v>53690.664673454274</v>
      </c>
      <c r="F415" s="111">
        <f t="shared" si="50"/>
        <v>11749703.235441307</v>
      </c>
      <c r="J415" s="121">
        <v>57315</v>
      </c>
      <c r="K415" s="103">
        <f t="shared" si="45"/>
        <v>255091.40610574093</v>
      </c>
      <c r="L415" s="103">
        <f t="shared" si="46"/>
        <v>203761.1869048682</v>
      </c>
      <c r="M415" s="103">
        <f t="shared" si="47"/>
        <v>51330.219200872729</v>
      </c>
      <c r="N415" s="103">
        <f t="shared" si="48"/>
        <v>12174340.995091263</v>
      </c>
    </row>
    <row r="416" spans="1:14" hidden="1" x14ac:dyDescent="0.25">
      <c r="A416">
        <v>385</v>
      </c>
      <c r="B416" s="112">
        <v>57346</v>
      </c>
      <c r="C416" s="111">
        <f t="shared" ref="C416:C479" si="51">x</f>
        <v>234394.37538396832</v>
      </c>
      <c r="D416" s="111">
        <f t="shared" ref="D416:D479" si="52">F415*((1+ANNUAL_INTEREST_RATE)^(1/12)-1)</f>
        <v>179881.73506358484</v>
      </c>
      <c r="E416" s="111">
        <f t="shared" si="49"/>
        <v>54512.640320383478</v>
      </c>
      <c r="F416" s="111">
        <f t="shared" si="50"/>
        <v>11695190.595120924</v>
      </c>
      <c r="J416" s="121">
        <v>57346</v>
      </c>
      <c r="K416" s="103">
        <f t="shared" si="45"/>
        <v>255091.40610574093</v>
      </c>
      <c r="L416" s="103">
        <f t="shared" si="46"/>
        <v>202905.68325152033</v>
      </c>
      <c r="M416" s="103">
        <f t="shared" si="47"/>
        <v>52185.722854220599</v>
      </c>
      <c r="N416" s="103">
        <f t="shared" si="48"/>
        <v>12122155.272237042</v>
      </c>
    </row>
    <row r="417" spans="1:14" hidden="1" x14ac:dyDescent="0.25">
      <c r="A417">
        <v>386</v>
      </c>
      <c r="B417" s="112">
        <v>57377</v>
      </c>
      <c r="C417" s="111">
        <f t="shared" si="51"/>
        <v>234394.37538396832</v>
      </c>
      <c r="D417" s="111">
        <f t="shared" si="52"/>
        <v>179047.17540473747</v>
      </c>
      <c r="E417" s="111">
        <f t="shared" si="49"/>
        <v>55347.199979230849</v>
      </c>
      <c r="F417" s="111">
        <f t="shared" si="50"/>
        <v>11639843.395141693</v>
      </c>
      <c r="J417" s="121">
        <v>57377</v>
      </c>
      <c r="K417" s="103">
        <f t="shared" ref="K417:K480" si="53">$L$23</f>
        <v>255091.40610574093</v>
      </c>
      <c r="L417" s="103">
        <f t="shared" ref="L417:L480" si="54">N416*((1+$L$5)^(1/12)-1)</f>
        <v>202035.92120394998</v>
      </c>
      <c r="M417" s="103">
        <f t="shared" ref="M417:M480" si="55">K417-L417</f>
        <v>53055.484901790944</v>
      </c>
      <c r="N417" s="103">
        <f t="shared" ref="N417:N480" si="56">N416-M417</f>
        <v>12069099.787335251</v>
      </c>
    </row>
    <row r="418" spans="1:14" hidden="1" x14ac:dyDescent="0.25">
      <c r="A418">
        <v>387</v>
      </c>
      <c r="B418" s="112">
        <v>57405</v>
      </c>
      <c r="C418" s="111">
        <f t="shared" si="51"/>
        <v>234394.37538396832</v>
      </c>
      <c r="D418" s="111">
        <f t="shared" si="52"/>
        <v>178199.83907941272</v>
      </c>
      <c r="E418" s="111">
        <f t="shared" si="49"/>
        <v>56194.536304555601</v>
      </c>
      <c r="F418" s="111">
        <f t="shared" si="50"/>
        <v>11583648.858837137</v>
      </c>
      <c r="J418" s="121">
        <v>57405</v>
      </c>
      <c r="K418" s="103">
        <f t="shared" si="53"/>
        <v>255091.40610574093</v>
      </c>
      <c r="L418" s="103">
        <f t="shared" si="54"/>
        <v>201151.66312225346</v>
      </c>
      <c r="M418" s="103">
        <f t="shared" si="55"/>
        <v>53939.742983487464</v>
      </c>
      <c r="N418" s="103">
        <f t="shared" si="56"/>
        <v>12015160.044351762</v>
      </c>
    </row>
    <row r="419" spans="1:14" hidden="1" x14ac:dyDescent="0.25">
      <c r="A419">
        <v>388</v>
      </c>
      <c r="B419" s="112">
        <v>57436</v>
      </c>
      <c r="C419" s="111">
        <f t="shared" si="51"/>
        <v>234394.37538396832</v>
      </c>
      <c r="D419" s="111">
        <f t="shared" si="52"/>
        <v>177339.53048361203</v>
      </c>
      <c r="E419" s="111">
        <f t="shared" si="49"/>
        <v>57054.844900356286</v>
      </c>
      <c r="F419" s="111">
        <f t="shared" si="50"/>
        <v>11526594.01393678</v>
      </c>
      <c r="J419" s="121">
        <v>57436</v>
      </c>
      <c r="K419" s="103">
        <f t="shared" si="53"/>
        <v>255091.40610574093</v>
      </c>
      <c r="L419" s="103">
        <f t="shared" si="54"/>
        <v>200252.66740586198</v>
      </c>
      <c r="M419" s="103">
        <f t="shared" si="55"/>
        <v>54838.738699878944</v>
      </c>
      <c r="N419" s="103">
        <f t="shared" si="56"/>
        <v>11960321.305651883</v>
      </c>
    </row>
    <row r="420" spans="1:14" hidden="1" x14ac:dyDescent="0.25">
      <c r="A420">
        <v>389</v>
      </c>
      <c r="B420" s="112">
        <v>57466</v>
      </c>
      <c r="C420" s="111">
        <f t="shared" si="51"/>
        <v>234394.37538396832</v>
      </c>
      <c r="D420" s="111">
        <f t="shared" si="52"/>
        <v>176466.05101874328</v>
      </c>
      <c r="E420" s="111">
        <f t="shared" ref="E420:E483" si="57">C420-D420</f>
        <v>57928.324365225038</v>
      </c>
      <c r="F420" s="111">
        <f t="shared" ref="F420:F483" si="58">F419-E420</f>
        <v>11468665.689571556</v>
      </c>
      <c r="J420" s="121">
        <v>57466</v>
      </c>
      <c r="K420" s="103">
        <f t="shared" si="53"/>
        <v>255091.40610574093</v>
      </c>
      <c r="L420" s="103">
        <f t="shared" si="54"/>
        <v>199338.68842753067</v>
      </c>
      <c r="M420" s="103">
        <f t="shared" si="55"/>
        <v>55752.717678210262</v>
      </c>
      <c r="N420" s="103">
        <f t="shared" si="56"/>
        <v>11904568.587973673</v>
      </c>
    </row>
    <row r="421" spans="1:14" hidden="1" x14ac:dyDescent="0.25">
      <c r="A421">
        <v>390</v>
      </c>
      <c r="B421" s="112">
        <v>57497</v>
      </c>
      <c r="C421" s="111">
        <f t="shared" si="51"/>
        <v>234394.37538396832</v>
      </c>
      <c r="D421" s="111">
        <f t="shared" si="52"/>
        <v>175579.19904577502</v>
      </c>
      <c r="E421" s="111">
        <f t="shared" si="57"/>
        <v>58815.176338193298</v>
      </c>
      <c r="F421" s="111">
        <f t="shared" si="58"/>
        <v>11409850.513233362</v>
      </c>
      <c r="J421" s="121">
        <v>57497</v>
      </c>
      <c r="K421" s="103">
        <f t="shared" si="53"/>
        <v>255091.40610574093</v>
      </c>
      <c r="L421" s="103">
        <f t="shared" si="54"/>
        <v>198409.47646622718</v>
      </c>
      <c r="M421" s="103">
        <f t="shared" si="55"/>
        <v>56681.92963951375</v>
      </c>
      <c r="N421" s="103">
        <f t="shared" si="56"/>
        <v>11847886.658334158</v>
      </c>
    </row>
    <row r="422" spans="1:14" hidden="1" x14ac:dyDescent="0.25">
      <c r="A422">
        <v>391</v>
      </c>
      <c r="B422" s="112">
        <v>57527</v>
      </c>
      <c r="C422" s="111">
        <f t="shared" si="51"/>
        <v>234394.37538396832</v>
      </c>
      <c r="D422" s="111">
        <f t="shared" si="52"/>
        <v>174678.76983868895</v>
      </c>
      <c r="E422" s="111">
        <f t="shared" si="57"/>
        <v>59715.605545279366</v>
      </c>
      <c r="F422" s="111">
        <f t="shared" si="58"/>
        <v>11350134.907688083</v>
      </c>
      <c r="J422" s="121">
        <v>57527</v>
      </c>
      <c r="K422" s="103">
        <f t="shared" si="53"/>
        <v>255091.40610574093</v>
      </c>
      <c r="L422" s="103">
        <f t="shared" si="54"/>
        <v>197464.77763890193</v>
      </c>
      <c r="M422" s="103">
        <f t="shared" si="55"/>
        <v>57626.628466839</v>
      </c>
      <c r="N422" s="103">
        <f t="shared" si="56"/>
        <v>11790260.029867319</v>
      </c>
    </row>
    <row r="423" spans="1:14" hidden="1" x14ac:dyDescent="0.25">
      <c r="A423">
        <v>392</v>
      </c>
      <c r="B423" s="112">
        <v>57558</v>
      </c>
      <c r="C423" s="111">
        <f t="shared" si="51"/>
        <v>234394.37538396832</v>
      </c>
      <c r="D423" s="111">
        <f t="shared" si="52"/>
        <v>173764.55553721995</v>
      </c>
      <c r="E423" s="111">
        <f t="shared" si="57"/>
        <v>60629.819846748374</v>
      </c>
      <c r="F423" s="111">
        <f t="shared" si="58"/>
        <v>11289505.087841336</v>
      </c>
      <c r="J423" s="121">
        <v>57558</v>
      </c>
      <c r="K423" s="103">
        <f t="shared" si="53"/>
        <v>255091.40610574093</v>
      </c>
      <c r="L423" s="103">
        <f t="shared" si="54"/>
        <v>196504.3338311213</v>
      </c>
      <c r="M423" s="103">
        <f t="shared" si="55"/>
        <v>58587.072274619626</v>
      </c>
      <c r="N423" s="103">
        <f t="shared" si="56"/>
        <v>11731672.9575927</v>
      </c>
    </row>
    <row r="424" spans="1:14" hidden="1" x14ac:dyDescent="0.25">
      <c r="A424">
        <v>393</v>
      </c>
      <c r="B424" s="112">
        <v>57589</v>
      </c>
      <c r="C424" s="111">
        <f t="shared" si="51"/>
        <v>234394.37538396832</v>
      </c>
      <c r="D424" s="111">
        <f t="shared" si="52"/>
        <v>172836.34509887215</v>
      </c>
      <c r="E424" s="111">
        <f t="shared" si="57"/>
        <v>61558.030285096174</v>
      </c>
      <c r="F424" s="111">
        <f t="shared" si="58"/>
        <v>11227947.05755624</v>
      </c>
      <c r="J424" s="121">
        <v>57589</v>
      </c>
      <c r="K424" s="103">
        <f t="shared" si="53"/>
        <v>255091.40610574093</v>
      </c>
      <c r="L424" s="103">
        <f t="shared" si="54"/>
        <v>195527.88262654431</v>
      </c>
      <c r="M424" s="103">
        <f t="shared" si="55"/>
        <v>59563.523479196621</v>
      </c>
      <c r="N424" s="103">
        <f t="shared" si="56"/>
        <v>11672109.434113503</v>
      </c>
    </row>
    <row r="425" spans="1:14" hidden="1" x14ac:dyDescent="0.25">
      <c r="A425">
        <v>394</v>
      </c>
      <c r="B425" s="112">
        <v>57619</v>
      </c>
      <c r="C425" s="111">
        <f t="shared" si="51"/>
        <v>234394.37538396832</v>
      </c>
      <c r="D425" s="111">
        <f t="shared" si="52"/>
        <v>171893.92425020091</v>
      </c>
      <c r="E425" s="111">
        <f t="shared" si="57"/>
        <v>62500.451133767405</v>
      </c>
      <c r="F425" s="111">
        <f t="shared" si="58"/>
        <v>11165446.606422473</v>
      </c>
      <c r="J425" s="121">
        <v>57619</v>
      </c>
      <c r="K425" s="103">
        <f t="shared" si="53"/>
        <v>255091.40610574093</v>
      </c>
      <c r="L425" s="103">
        <f t="shared" si="54"/>
        <v>194535.15723522435</v>
      </c>
      <c r="M425" s="103">
        <f t="shared" si="55"/>
        <v>60556.248870516574</v>
      </c>
      <c r="N425" s="103">
        <f t="shared" si="56"/>
        <v>11611553.185242986</v>
      </c>
    </row>
    <row r="426" spans="1:14" hidden="1" x14ac:dyDescent="0.25">
      <c r="A426">
        <v>395</v>
      </c>
      <c r="B426" s="112">
        <v>57650</v>
      </c>
      <c r="C426" s="111">
        <f t="shared" si="51"/>
        <v>234394.37538396832</v>
      </c>
      <c r="D426" s="111">
        <f t="shared" si="52"/>
        <v>170937.0754373486</v>
      </c>
      <c r="E426" s="111">
        <f t="shared" si="57"/>
        <v>63457.299946619722</v>
      </c>
      <c r="F426" s="111">
        <f t="shared" si="58"/>
        <v>11101989.306475854</v>
      </c>
      <c r="J426" s="121">
        <v>57650</v>
      </c>
      <c r="K426" s="103">
        <f t="shared" si="53"/>
        <v>255091.40610574093</v>
      </c>
      <c r="L426" s="103">
        <f t="shared" si="54"/>
        <v>193525.88642071575</v>
      </c>
      <c r="M426" s="103">
        <f t="shared" si="55"/>
        <v>61565.519685025181</v>
      </c>
      <c r="N426" s="103">
        <f t="shared" si="56"/>
        <v>11549987.665557962</v>
      </c>
    </row>
    <row r="427" spans="1:14" hidden="1" x14ac:dyDescent="0.25">
      <c r="A427">
        <v>396</v>
      </c>
      <c r="B427" s="112">
        <v>57680</v>
      </c>
      <c r="C427" s="111">
        <f t="shared" si="51"/>
        <v>234394.37538396832</v>
      </c>
      <c r="D427" s="111">
        <f t="shared" si="52"/>
        <v>169965.57777582324</v>
      </c>
      <c r="E427" s="111">
        <f t="shared" si="57"/>
        <v>64428.797608145076</v>
      </c>
      <c r="F427" s="111">
        <f t="shared" si="58"/>
        <v>11037560.508867709</v>
      </c>
      <c r="J427" s="121">
        <v>57680</v>
      </c>
      <c r="K427" s="103">
        <f t="shared" si="53"/>
        <v>255091.40610574093</v>
      </c>
      <c r="L427" s="103">
        <f t="shared" si="54"/>
        <v>192499.79442596534</v>
      </c>
      <c r="M427" s="103">
        <f t="shared" si="55"/>
        <v>62591.611679775582</v>
      </c>
      <c r="N427" s="103">
        <f t="shared" si="56"/>
        <v>11487396.053878186</v>
      </c>
    </row>
    <row r="428" spans="1:14" hidden="1" x14ac:dyDescent="0.25">
      <c r="A428">
        <v>397</v>
      </c>
      <c r="B428" s="112">
        <v>57711</v>
      </c>
      <c r="C428" s="111">
        <f t="shared" si="51"/>
        <v>234394.37538396832</v>
      </c>
      <c r="D428" s="111">
        <f t="shared" si="52"/>
        <v>168979.2069995082</v>
      </c>
      <c r="E428" s="111">
        <f t="shared" si="57"/>
        <v>65415.168384460121</v>
      </c>
      <c r="F428" s="111">
        <f t="shared" si="58"/>
        <v>10972145.340483248</v>
      </c>
      <c r="J428" s="121">
        <v>57711</v>
      </c>
      <c r="K428" s="103">
        <f t="shared" si="53"/>
        <v>255091.40610574093</v>
      </c>
      <c r="L428" s="103">
        <f t="shared" si="54"/>
        <v>191456.6008979691</v>
      </c>
      <c r="M428" s="103">
        <f t="shared" si="55"/>
        <v>63634.805207771831</v>
      </c>
      <c r="N428" s="103">
        <f t="shared" si="56"/>
        <v>11423761.248670414</v>
      </c>
    </row>
    <row r="429" spans="1:14" hidden="1" x14ac:dyDescent="0.25">
      <c r="A429">
        <v>398</v>
      </c>
      <c r="B429" s="112">
        <v>57742</v>
      </c>
      <c r="C429" s="111">
        <f t="shared" si="51"/>
        <v>234394.37538396832</v>
      </c>
      <c r="D429" s="111">
        <f t="shared" si="52"/>
        <v>167977.73540889134</v>
      </c>
      <c r="E429" s="111">
        <f t="shared" si="57"/>
        <v>66416.639975076978</v>
      </c>
      <c r="F429" s="111">
        <f t="shared" si="58"/>
        <v>10905728.700508172</v>
      </c>
      <c r="J429" s="121">
        <v>57742</v>
      </c>
      <c r="K429" s="103">
        <f t="shared" si="53"/>
        <v>255091.40610574093</v>
      </c>
      <c r="L429" s="103">
        <f t="shared" si="54"/>
        <v>190396.0208111729</v>
      </c>
      <c r="M429" s="103">
        <f t="shared" si="55"/>
        <v>64695.385294568026</v>
      </c>
      <c r="N429" s="103">
        <f t="shared" si="56"/>
        <v>11359065.863375846</v>
      </c>
    </row>
    <row r="430" spans="1:14" hidden="1" x14ac:dyDescent="0.25">
      <c r="A430">
        <v>399</v>
      </c>
      <c r="B430" s="112">
        <v>57770</v>
      </c>
      <c r="C430" s="111">
        <f t="shared" si="51"/>
        <v>234394.37538396832</v>
      </c>
      <c r="D430" s="111">
        <f t="shared" si="52"/>
        <v>166960.93181850165</v>
      </c>
      <c r="E430" s="111">
        <f t="shared" si="57"/>
        <v>67433.443565466674</v>
      </c>
      <c r="F430" s="111">
        <f t="shared" si="58"/>
        <v>10838295.256942704</v>
      </c>
      <c r="J430" s="121">
        <v>57770</v>
      </c>
      <c r="K430" s="103">
        <f t="shared" si="53"/>
        <v>255091.40610574093</v>
      </c>
      <c r="L430" s="103">
        <f t="shared" si="54"/>
        <v>189317.76438959676</v>
      </c>
      <c r="M430" s="103">
        <f t="shared" si="55"/>
        <v>65773.641716144164</v>
      </c>
      <c r="N430" s="103">
        <f t="shared" si="56"/>
        <v>11293292.221659701</v>
      </c>
    </row>
    <row r="431" spans="1:14" hidden="1" x14ac:dyDescent="0.25">
      <c r="A431">
        <v>400</v>
      </c>
      <c r="B431" s="112">
        <v>57801</v>
      </c>
      <c r="C431" s="111">
        <f t="shared" si="51"/>
        <v>234394.37538396832</v>
      </c>
      <c r="D431" s="111">
        <f t="shared" si="52"/>
        <v>165928.56150354084</v>
      </c>
      <c r="E431" s="111">
        <f t="shared" si="57"/>
        <v>68465.813880427479</v>
      </c>
      <c r="F431" s="111">
        <f t="shared" si="58"/>
        <v>10769829.443062278</v>
      </c>
      <c r="J431" s="121">
        <v>57801</v>
      </c>
      <c r="K431" s="103">
        <f t="shared" si="53"/>
        <v>255091.40610574093</v>
      </c>
      <c r="L431" s="103">
        <f t="shared" si="54"/>
        <v>188221.53702766102</v>
      </c>
      <c r="M431" s="103">
        <f t="shared" si="55"/>
        <v>66869.869078079908</v>
      </c>
      <c r="N431" s="103">
        <f t="shared" si="56"/>
        <v>11226422.352581622</v>
      </c>
    </row>
    <row r="432" spans="1:14" hidden="1" x14ac:dyDescent="0.25">
      <c r="A432">
        <v>401</v>
      </c>
      <c r="B432" s="112">
        <v>57831</v>
      </c>
      <c r="C432" s="111">
        <f t="shared" si="51"/>
        <v>234394.37538396832</v>
      </c>
      <c r="D432" s="111">
        <f t="shared" si="52"/>
        <v>164880.38614569834</v>
      </c>
      <c r="E432" s="111">
        <f t="shared" si="57"/>
        <v>69513.989238269976</v>
      </c>
      <c r="F432" s="111">
        <f t="shared" si="58"/>
        <v>10700315.453824008</v>
      </c>
      <c r="J432" s="121">
        <v>57831</v>
      </c>
      <c r="K432" s="103">
        <f t="shared" si="53"/>
        <v>255091.40610574093</v>
      </c>
      <c r="L432" s="103">
        <f t="shared" si="54"/>
        <v>187107.03920969303</v>
      </c>
      <c r="M432" s="103">
        <f t="shared" si="55"/>
        <v>67984.366896047897</v>
      </c>
      <c r="N432" s="103">
        <f t="shared" si="56"/>
        <v>11158437.985685574</v>
      </c>
    </row>
    <row r="433" spans="1:14" hidden="1" x14ac:dyDescent="0.25">
      <c r="A433">
        <v>402</v>
      </c>
      <c r="B433" s="112">
        <v>57862</v>
      </c>
      <c r="C433" s="111">
        <f t="shared" si="51"/>
        <v>234394.37538396832</v>
      </c>
      <c r="D433" s="111">
        <f t="shared" si="52"/>
        <v>163816.16377813643</v>
      </c>
      <c r="E433" s="111">
        <f t="shared" si="57"/>
        <v>70578.211605831893</v>
      </c>
      <c r="F433" s="111">
        <f t="shared" si="58"/>
        <v>10629737.242218176</v>
      </c>
      <c r="J433" s="121">
        <v>57862</v>
      </c>
      <c r="K433" s="103">
        <f t="shared" si="53"/>
        <v>255091.40610574093</v>
      </c>
      <c r="L433" s="103">
        <f t="shared" si="54"/>
        <v>185973.96642809224</v>
      </c>
      <c r="M433" s="103">
        <f t="shared" si="55"/>
        <v>69117.439677648683</v>
      </c>
      <c r="N433" s="103">
        <f t="shared" si="56"/>
        <v>11089320.546007926</v>
      </c>
    </row>
    <row r="434" spans="1:14" hidden="1" x14ac:dyDescent="0.25">
      <c r="A434">
        <v>403</v>
      </c>
      <c r="B434" s="112">
        <v>57892</v>
      </c>
      <c r="C434" s="111">
        <f t="shared" si="51"/>
        <v>234394.37538396832</v>
      </c>
      <c r="D434" s="111">
        <f t="shared" si="52"/>
        <v>162735.64872963316</v>
      </c>
      <c r="E434" s="111">
        <f t="shared" si="57"/>
        <v>71658.726654335158</v>
      </c>
      <c r="F434" s="111">
        <f t="shared" si="58"/>
        <v>10558078.51556384</v>
      </c>
      <c r="J434" s="121">
        <v>57892</v>
      </c>
      <c r="K434" s="103">
        <f t="shared" si="53"/>
        <v>255091.40610574093</v>
      </c>
      <c r="L434" s="103">
        <f t="shared" si="54"/>
        <v>184822.00910013143</v>
      </c>
      <c r="M434" s="103">
        <f t="shared" si="55"/>
        <v>70269.397005609499</v>
      </c>
      <c r="N434" s="103">
        <f t="shared" si="56"/>
        <v>11019051.149002315</v>
      </c>
    </row>
    <row r="435" spans="1:14" hidden="1" x14ac:dyDescent="0.25">
      <c r="A435">
        <v>404</v>
      </c>
      <c r="B435" s="112">
        <v>57923</v>
      </c>
      <c r="C435" s="111">
        <f t="shared" si="51"/>
        <v>234394.37538396832</v>
      </c>
      <c r="D435" s="111">
        <f t="shared" si="52"/>
        <v>161638.59156787032</v>
      </c>
      <c r="E435" s="111">
        <f t="shared" si="57"/>
        <v>72755.783816098003</v>
      </c>
      <c r="F435" s="111">
        <f t="shared" si="58"/>
        <v>10485322.731747743</v>
      </c>
      <c r="J435" s="121">
        <v>57923</v>
      </c>
      <c r="K435" s="103">
        <f t="shared" si="53"/>
        <v>255091.40610574093</v>
      </c>
      <c r="L435" s="103">
        <f t="shared" si="54"/>
        <v>183650.85248337127</v>
      </c>
      <c r="M435" s="103">
        <f t="shared" si="55"/>
        <v>71440.553622369654</v>
      </c>
      <c r="N435" s="103">
        <f t="shared" si="56"/>
        <v>10947610.595379945</v>
      </c>
    </row>
    <row r="436" spans="1:14" hidden="1" x14ac:dyDescent="0.25">
      <c r="A436">
        <v>405</v>
      </c>
      <c r="B436" s="112">
        <v>57954</v>
      </c>
      <c r="C436" s="111">
        <f t="shared" si="51"/>
        <v>234394.37538396832</v>
      </c>
      <c r="D436" s="111">
        <f t="shared" si="52"/>
        <v>160524.73904185294</v>
      </c>
      <c r="E436" s="111">
        <f t="shared" si="57"/>
        <v>73869.63634211538</v>
      </c>
      <c r="F436" s="111">
        <f t="shared" si="58"/>
        <v>10411453.095405627</v>
      </c>
      <c r="J436" s="121">
        <v>57954</v>
      </c>
      <c r="K436" s="103">
        <f t="shared" si="53"/>
        <v>255091.40610574093</v>
      </c>
      <c r="L436" s="103">
        <f t="shared" si="54"/>
        <v>182460.17658966509</v>
      </c>
      <c r="M436" s="103">
        <f t="shared" si="55"/>
        <v>72631.229516075837</v>
      </c>
      <c r="N436" s="103">
        <f t="shared" si="56"/>
        <v>10874979.365863869</v>
      </c>
    </row>
    <row r="437" spans="1:14" hidden="1" x14ac:dyDescent="0.25">
      <c r="A437">
        <v>406</v>
      </c>
      <c r="B437" s="112">
        <v>57984</v>
      </c>
      <c r="C437" s="111">
        <f t="shared" si="51"/>
        <v>234394.37538396832</v>
      </c>
      <c r="D437" s="111">
        <f t="shared" si="52"/>
        <v>159393.83402344745</v>
      </c>
      <c r="E437" s="111">
        <f t="shared" si="57"/>
        <v>75000.541360520874</v>
      </c>
      <c r="F437" s="111">
        <f t="shared" si="58"/>
        <v>10336452.554045105</v>
      </c>
      <c r="J437" s="121">
        <v>57984</v>
      </c>
      <c r="K437" s="103">
        <f t="shared" si="53"/>
        <v>255091.40610574093</v>
      </c>
      <c r="L437" s="103">
        <f t="shared" si="54"/>
        <v>181249.65609773051</v>
      </c>
      <c r="M437" s="103">
        <f t="shared" si="55"/>
        <v>73841.750008010422</v>
      </c>
      <c r="N437" s="103">
        <f t="shared" si="56"/>
        <v>10801137.615855858</v>
      </c>
    </row>
    <row r="438" spans="1:14" hidden="1" x14ac:dyDescent="0.25">
      <c r="A438">
        <v>407</v>
      </c>
      <c r="B438" s="112">
        <v>58015</v>
      </c>
      <c r="C438" s="111">
        <f t="shared" si="51"/>
        <v>234394.37538396832</v>
      </c>
      <c r="D438" s="111">
        <f t="shared" si="52"/>
        <v>158245.61544802468</v>
      </c>
      <c r="E438" s="111">
        <f t="shared" si="57"/>
        <v>76148.759935943643</v>
      </c>
      <c r="F438" s="111">
        <f t="shared" si="58"/>
        <v>10260303.794109162</v>
      </c>
      <c r="J438" s="121">
        <v>58015</v>
      </c>
      <c r="K438" s="103">
        <f t="shared" si="53"/>
        <v>255091.40610574093</v>
      </c>
      <c r="L438" s="103">
        <f t="shared" si="54"/>
        <v>180018.96026426365</v>
      </c>
      <c r="M438" s="103">
        <f t="shared" si="55"/>
        <v>75072.445841477282</v>
      </c>
      <c r="N438" s="103">
        <f t="shared" si="56"/>
        <v>10726065.17001438</v>
      </c>
    </row>
    <row r="439" spans="1:14" hidden="1" x14ac:dyDescent="0.25">
      <c r="A439">
        <v>408</v>
      </c>
      <c r="B439" s="112">
        <v>58045</v>
      </c>
      <c r="C439" s="111">
        <f t="shared" si="51"/>
        <v>234394.37538396832</v>
      </c>
      <c r="D439" s="111">
        <f t="shared" si="52"/>
        <v>157079.81825419425</v>
      </c>
      <c r="E439" s="111">
        <f t="shared" si="57"/>
        <v>77314.557129774068</v>
      </c>
      <c r="F439" s="111">
        <f t="shared" si="58"/>
        <v>10182989.236979388</v>
      </c>
      <c r="J439" s="121">
        <v>58045</v>
      </c>
      <c r="K439" s="103">
        <f t="shared" si="53"/>
        <v>255091.40610574093</v>
      </c>
      <c r="L439" s="103">
        <f t="shared" si="54"/>
        <v>178767.75283357236</v>
      </c>
      <c r="M439" s="103">
        <f t="shared" si="55"/>
        <v>76323.653272168565</v>
      </c>
      <c r="N439" s="103">
        <f t="shared" si="56"/>
        <v>10649741.516742211</v>
      </c>
    </row>
    <row r="440" spans="1:14" hidden="1" x14ac:dyDescent="0.25">
      <c r="A440">
        <v>409</v>
      </c>
      <c r="B440" s="112">
        <v>58076</v>
      </c>
      <c r="C440" s="111">
        <f t="shared" si="51"/>
        <v>234394.37538396832</v>
      </c>
      <c r="D440" s="111">
        <f t="shared" si="52"/>
        <v>155896.17332261617</v>
      </c>
      <c r="E440" s="111">
        <f t="shared" si="57"/>
        <v>78498.202061352145</v>
      </c>
      <c r="F440" s="111">
        <f t="shared" si="58"/>
        <v>10104491.034918036</v>
      </c>
      <c r="J440" s="121">
        <v>58076</v>
      </c>
      <c r="K440" s="103">
        <f t="shared" si="53"/>
        <v>255091.40610574093</v>
      </c>
      <c r="L440" s="103">
        <f t="shared" si="54"/>
        <v>177495.69194570289</v>
      </c>
      <c r="M440" s="103">
        <f t="shared" si="55"/>
        <v>77595.714160038042</v>
      </c>
      <c r="N440" s="103">
        <f t="shared" si="56"/>
        <v>10572145.802582173</v>
      </c>
    </row>
    <row r="441" spans="1:14" hidden="1" x14ac:dyDescent="0.25">
      <c r="A441">
        <v>410</v>
      </c>
      <c r="B441" s="112">
        <v>58107</v>
      </c>
      <c r="C441" s="111">
        <f t="shared" si="51"/>
        <v>234394.37538396832</v>
      </c>
      <c r="D441" s="111">
        <f t="shared" si="52"/>
        <v>154694.40741387598</v>
      </c>
      <c r="E441" s="111">
        <f t="shared" si="57"/>
        <v>79699.967970092344</v>
      </c>
      <c r="F441" s="111">
        <f t="shared" si="58"/>
        <v>10024791.066947944</v>
      </c>
      <c r="J441" s="121">
        <v>58107</v>
      </c>
      <c r="K441" s="103">
        <f t="shared" si="53"/>
        <v>255091.40610574093</v>
      </c>
      <c r="L441" s="103">
        <f t="shared" si="54"/>
        <v>176202.43004303559</v>
      </c>
      <c r="M441" s="103">
        <f t="shared" si="55"/>
        <v>78888.976062705333</v>
      </c>
      <c r="N441" s="103">
        <f t="shared" si="56"/>
        <v>10493256.826519467</v>
      </c>
    </row>
    <row r="442" spans="1:14" hidden="1" x14ac:dyDescent="0.25">
      <c r="A442">
        <v>411</v>
      </c>
      <c r="B442" s="112">
        <v>58135</v>
      </c>
      <c r="C442" s="111">
        <f t="shared" si="51"/>
        <v>234394.37538396832</v>
      </c>
      <c r="D442" s="111">
        <f t="shared" si="52"/>
        <v>153474.24310540833</v>
      </c>
      <c r="E442" s="111">
        <f t="shared" si="57"/>
        <v>80920.132278559991</v>
      </c>
      <c r="F442" s="111">
        <f t="shared" si="58"/>
        <v>9943870.9346693847</v>
      </c>
      <c r="J442" s="121">
        <v>58135</v>
      </c>
      <c r="K442" s="103">
        <f t="shared" si="53"/>
        <v>255091.40610574093</v>
      </c>
      <c r="L442" s="103">
        <f t="shared" si="54"/>
        <v>174887.61377532381</v>
      </c>
      <c r="M442" s="103">
        <f t="shared" si="55"/>
        <v>80203.792330417113</v>
      </c>
      <c r="N442" s="103">
        <f t="shared" si="56"/>
        <v>10413053.034189049</v>
      </c>
    </row>
    <row r="443" spans="1:14" hidden="1" x14ac:dyDescent="0.25">
      <c r="A443">
        <v>412</v>
      </c>
      <c r="B443" s="112">
        <v>58166</v>
      </c>
      <c r="C443" s="111">
        <f t="shared" si="51"/>
        <v>234394.37538396832</v>
      </c>
      <c r="D443" s="111">
        <f t="shared" si="52"/>
        <v>152235.39872745538</v>
      </c>
      <c r="E443" s="111">
        <f t="shared" si="57"/>
        <v>82158.976656512939</v>
      </c>
      <c r="F443" s="111">
        <f t="shared" si="58"/>
        <v>9861711.9580128714</v>
      </c>
      <c r="J443" s="121">
        <v>58166</v>
      </c>
      <c r="K443" s="103">
        <f t="shared" si="53"/>
        <v>255091.40610574093</v>
      </c>
      <c r="L443" s="103">
        <f t="shared" si="54"/>
        <v>173550.88390315021</v>
      </c>
      <c r="M443" s="103">
        <f t="shared" si="55"/>
        <v>81540.522202590713</v>
      </c>
      <c r="N443" s="103">
        <f t="shared" si="56"/>
        <v>10331512.511986459</v>
      </c>
    </row>
    <row r="444" spans="1:14" hidden="1" x14ac:dyDescent="0.25">
      <c r="A444">
        <v>413</v>
      </c>
      <c r="B444" s="112">
        <v>58196</v>
      </c>
      <c r="C444" s="111">
        <f t="shared" si="51"/>
        <v>234394.37538396832</v>
      </c>
      <c r="D444" s="111">
        <f t="shared" si="52"/>
        <v>150977.5882980444</v>
      </c>
      <c r="E444" s="111">
        <f t="shared" si="57"/>
        <v>83416.787085923919</v>
      </c>
      <c r="F444" s="111">
        <f t="shared" si="58"/>
        <v>9778295.1709269471</v>
      </c>
      <c r="J444" s="121">
        <v>58196</v>
      </c>
      <c r="K444" s="103">
        <f t="shared" si="53"/>
        <v>255091.40610574093</v>
      </c>
      <c r="L444" s="103">
        <f t="shared" si="54"/>
        <v>172191.8751997737</v>
      </c>
      <c r="M444" s="103">
        <f t="shared" si="55"/>
        <v>82899.530905967229</v>
      </c>
      <c r="N444" s="103">
        <f t="shared" si="56"/>
        <v>10248612.981080491</v>
      </c>
    </row>
    <row r="445" spans="1:14" hidden="1" x14ac:dyDescent="0.25">
      <c r="A445">
        <v>414</v>
      </c>
      <c r="B445" s="112">
        <v>58227</v>
      </c>
      <c r="C445" s="111">
        <f t="shared" si="51"/>
        <v>234394.37538396832</v>
      </c>
      <c r="D445" s="111">
        <f t="shared" si="52"/>
        <v>149700.52145697008</v>
      </c>
      <c r="E445" s="111">
        <f t="shared" si="57"/>
        <v>84693.853926998243</v>
      </c>
      <c r="F445" s="111">
        <f t="shared" si="58"/>
        <v>9693601.3169999495</v>
      </c>
      <c r="J445" s="121">
        <v>58227</v>
      </c>
      <c r="K445" s="103">
        <f t="shared" si="53"/>
        <v>255091.40610574093</v>
      </c>
      <c r="L445" s="103">
        <f t="shared" si="54"/>
        <v>170810.2163513409</v>
      </c>
      <c r="M445" s="103">
        <f t="shared" si="55"/>
        <v>84281.189754400024</v>
      </c>
      <c r="N445" s="103">
        <f t="shared" si="56"/>
        <v>10164331.791326091</v>
      </c>
    </row>
    <row r="446" spans="1:14" hidden="1" x14ac:dyDescent="0.25">
      <c r="A446">
        <v>415</v>
      </c>
      <c r="B446" s="112">
        <v>58257</v>
      </c>
      <c r="C446" s="111">
        <f t="shared" si="51"/>
        <v>234394.37538396832</v>
      </c>
      <c r="D446" s="111">
        <f t="shared" si="52"/>
        <v>148403.90339876615</v>
      </c>
      <c r="E446" s="111">
        <f t="shared" si="57"/>
        <v>85990.471985202166</v>
      </c>
      <c r="F446" s="111">
        <f t="shared" si="58"/>
        <v>9607610.8450147472</v>
      </c>
      <c r="J446" s="121">
        <v>58257</v>
      </c>
      <c r="K446" s="103">
        <f t="shared" si="53"/>
        <v>255091.40610574093</v>
      </c>
      <c r="L446" s="103">
        <f t="shared" si="54"/>
        <v>169405.52985543423</v>
      </c>
      <c r="M446" s="103">
        <f t="shared" si="55"/>
        <v>85685.876250306697</v>
      </c>
      <c r="N446" s="103">
        <f t="shared" si="56"/>
        <v>10078645.915075785</v>
      </c>
    </row>
    <row r="447" spans="1:14" hidden="1" x14ac:dyDescent="0.25">
      <c r="A447">
        <v>416</v>
      </c>
      <c r="B447" s="112">
        <v>58288</v>
      </c>
      <c r="C447" s="111">
        <f t="shared" si="51"/>
        <v>234394.37538396832</v>
      </c>
      <c r="D447" s="111">
        <f t="shared" si="52"/>
        <v>147087.43480465075</v>
      </c>
      <c r="E447" s="111">
        <f t="shared" si="57"/>
        <v>87306.940579317568</v>
      </c>
      <c r="F447" s="111">
        <f t="shared" si="58"/>
        <v>9520303.9044354297</v>
      </c>
      <c r="J447" s="121">
        <v>58288</v>
      </c>
      <c r="K447" s="103">
        <f t="shared" si="53"/>
        <v>255091.40610574093</v>
      </c>
      <c r="L447" s="103">
        <f t="shared" si="54"/>
        <v>167977.43191792915</v>
      </c>
      <c r="M447" s="103">
        <f t="shared" si="55"/>
        <v>87113.974187811778</v>
      </c>
      <c r="N447" s="103">
        <f t="shared" si="56"/>
        <v>9991531.9408879727</v>
      </c>
    </row>
    <row r="448" spans="1:14" hidden="1" x14ac:dyDescent="0.25">
      <c r="A448">
        <v>417</v>
      </c>
      <c r="B448" s="112">
        <v>58319</v>
      </c>
      <c r="C448" s="111">
        <f t="shared" si="51"/>
        <v>234394.37538396832</v>
      </c>
      <c r="D448" s="111">
        <f t="shared" si="52"/>
        <v>145750.81177342992</v>
      </c>
      <c r="E448" s="111">
        <f t="shared" si="57"/>
        <v>88643.563610538404</v>
      </c>
      <c r="F448" s="111">
        <f t="shared" si="58"/>
        <v>9431660.3408248909</v>
      </c>
      <c r="J448" s="121">
        <v>58319</v>
      </c>
      <c r="K448" s="103">
        <f t="shared" si="53"/>
        <v>255091.40610574093</v>
      </c>
      <c r="L448" s="103">
        <f t="shared" si="54"/>
        <v>166525.53234813228</v>
      </c>
      <c r="M448" s="103">
        <f t="shared" si="55"/>
        <v>88565.873757608642</v>
      </c>
      <c r="N448" s="103">
        <f t="shared" si="56"/>
        <v>9902966.0671303645</v>
      </c>
    </row>
    <row r="449" spans="1:14" hidden="1" x14ac:dyDescent="0.25">
      <c r="A449">
        <v>418</v>
      </c>
      <c r="B449" s="112">
        <v>58349</v>
      </c>
      <c r="C449" s="111">
        <f t="shared" si="51"/>
        <v>234394.37538396832</v>
      </c>
      <c r="D449" s="111">
        <f t="shared" si="52"/>
        <v>144393.7257513433</v>
      </c>
      <c r="E449" s="111">
        <f t="shared" si="57"/>
        <v>90000.64963262502</v>
      </c>
      <c r="F449" s="111">
        <f t="shared" si="58"/>
        <v>9341659.6911922656</v>
      </c>
      <c r="J449" s="121">
        <v>58349</v>
      </c>
      <c r="K449" s="103">
        <f t="shared" si="53"/>
        <v>255091.40610574093</v>
      </c>
      <c r="L449" s="103">
        <f t="shared" si="54"/>
        <v>165049.43445217217</v>
      </c>
      <c r="M449" s="103">
        <f t="shared" si="55"/>
        <v>90041.971653568762</v>
      </c>
      <c r="N449" s="103">
        <f t="shared" si="56"/>
        <v>9812924.095476795</v>
      </c>
    </row>
    <row r="450" spans="1:14" hidden="1" x14ac:dyDescent="0.25">
      <c r="A450">
        <v>419</v>
      </c>
      <c r="B450" s="112">
        <v>58380</v>
      </c>
      <c r="C450" s="111">
        <f t="shared" si="51"/>
        <v>234394.37538396832</v>
      </c>
      <c r="D450" s="111">
        <f t="shared" si="52"/>
        <v>143015.863460836</v>
      </c>
      <c r="E450" s="111">
        <f t="shared" si="57"/>
        <v>91378.511923132319</v>
      </c>
      <c r="F450" s="111">
        <f t="shared" si="58"/>
        <v>9250281.1792691331</v>
      </c>
      <c r="J450" s="121">
        <v>58380</v>
      </c>
      <c r="K450" s="103">
        <f t="shared" si="53"/>
        <v>255091.40610574093</v>
      </c>
      <c r="L450" s="103">
        <f t="shared" si="54"/>
        <v>163548.73492461268</v>
      </c>
      <c r="M450" s="103">
        <f t="shared" si="55"/>
        <v>91542.671181128244</v>
      </c>
      <c r="N450" s="103">
        <f t="shared" si="56"/>
        <v>9721381.4242956676</v>
      </c>
    </row>
    <row r="451" spans="1:14" hidden="1" x14ac:dyDescent="0.25">
      <c r="A451">
        <v>420</v>
      </c>
      <c r="B451" s="112">
        <v>58410</v>
      </c>
      <c r="C451" s="111">
        <f t="shared" si="51"/>
        <v>234394.37538396832</v>
      </c>
      <c r="D451" s="111">
        <f t="shared" si="52"/>
        <v>141616.90682823947</v>
      </c>
      <c r="E451" s="111">
        <f t="shared" si="57"/>
        <v>92777.468555728847</v>
      </c>
      <c r="F451" s="111">
        <f t="shared" si="58"/>
        <v>9157503.7107134052</v>
      </c>
      <c r="J451" s="121">
        <v>58410</v>
      </c>
      <c r="K451" s="103">
        <f t="shared" si="53"/>
        <v>255091.40610574093</v>
      </c>
      <c r="L451" s="103">
        <f t="shared" si="54"/>
        <v>162023.02373826056</v>
      </c>
      <c r="M451" s="103">
        <f t="shared" si="55"/>
        <v>93068.382367480372</v>
      </c>
      <c r="N451" s="103">
        <f t="shared" si="56"/>
        <v>9628313.041928187</v>
      </c>
    </row>
    <row r="452" spans="1:14" hidden="1" x14ac:dyDescent="0.25">
      <c r="A452">
        <v>421</v>
      </c>
      <c r="B452" s="112">
        <v>58441</v>
      </c>
      <c r="C452" s="111">
        <f t="shared" si="51"/>
        <v>234394.37538396832</v>
      </c>
      <c r="D452" s="111">
        <f t="shared" si="52"/>
        <v>140196.53291034579</v>
      </c>
      <c r="E452" s="111">
        <f t="shared" si="57"/>
        <v>94197.842473622528</v>
      </c>
      <c r="F452" s="111">
        <f t="shared" si="58"/>
        <v>9063305.8682397828</v>
      </c>
      <c r="J452" s="121">
        <v>58441</v>
      </c>
      <c r="K452" s="103">
        <f t="shared" si="53"/>
        <v>255091.40610574093</v>
      </c>
      <c r="L452" s="103">
        <f t="shared" si="54"/>
        <v>160471.88403213589</v>
      </c>
      <c r="M452" s="103">
        <f t="shared" si="55"/>
        <v>94619.52207360504</v>
      </c>
      <c r="N452" s="103">
        <f t="shared" si="56"/>
        <v>9533693.5198545828</v>
      </c>
    </row>
    <row r="453" spans="1:14" hidden="1" x14ac:dyDescent="0.25">
      <c r="A453">
        <v>422</v>
      </c>
      <c r="B453" s="112">
        <v>58472</v>
      </c>
      <c r="C453" s="111">
        <f t="shared" si="51"/>
        <v>234394.37538396832</v>
      </c>
      <c r="D453" s="111">
        <f t="shared" si="52"/>
        <v>138754.41381985755</v>
      </c>
      <c r="E453" s="111">
        <f t="shared" si="57"/>
        <v>95639.961564110767</v>
      </c>
      <c r="F453" s="111">
        <f t="shared" si="58"/>
        <v>8967665.9066756722</v>
      </c>
      <c r="J453" s="121">
        <v>58472</v>
      </c>
      <c r="K453" s="103">
        <f t="shared" si="53"/>
        <v>255091.40610574093</v>
      </c>
      <c r="L453" s="103">
        <f t="shared" si="54"/>
        <v>158894.89199757582</v>
      </c>
      <c r="M453" s="103">
        <f t="shared" si="55"/>
        <v>96196.514108165109</v>
      </c>
      <c r="N453" s="103">
        <f t="shared" si="56"/>
        <v>9437497.0057464186</v>
      </c>
    </row>
    <row r="454" spans="1:14" hidden="1" x14ac:dyDescent="0.25">
      <c r="A454">
        <v>423</v>
      </c>
      <c r="B454" s="112">
        <v>58501</v>
      </c>
      <c r="C454" s="111">
        <f t="shared" si="51"/>
        <v>234394.37538396832</v>
      </c>
      <c r="D454" s="111">
        <f t="shared" si="52"/>
        <v>137290.21664969638</v>
      </c>
      <c r="E454" s="111">
        <f t="shared" si="57"/>
        <v>97104.158734271943</v>
      </c>
      <c r="F454" s="111">
        <f t="shared" si="58"/>
        <v>8870561.7479414009</v>
      </c>
      <c r="J454" s="121">
        <v>58501</v>
      </c>
      <c r="K454" s="103">
        <f t="shared" si="53"/>
        <v>255091.40610574093</v>
      </c>
      <c r="L454" s="103">
        <f t="shared" si="54"/>
        <v>157291.61676243975</v>
      </c>
      <c r="M454" s="103">
        <f t="shared" si="55"/>
        <v>97799.789343301178</v>
      </c>
      <c r="N454" s="103">
        <f t="shared" si="56"/>
        <v>9339697.2164031174</v>
      </c>
    </row>
    <row r="455" spans="1:14" hidden="1" x14ac:dyDescent="0.25">
      <c r="A455">
        <v>424</v>
      </c>
      <c r="B455" s="112">
        <v>58532</v>
      </c>
      <c r="C455" s="111">
        <f t="shared" si="51"/>
        <v>234394.37538396832</v>
      </c>
      <c r="D455" s="111">
        <f t="shared" si="52"/>
        <v>135803.60339615284</v>
      </c>
      <c r="E455" s="111">
        <f t="shared" si="57"/>
        <v>98590.771987815475</v>
      </c>
      <c r="F455" s="111">
        <f t="shared" si="58"/>
        <v>8771970.9759535845</v>
      </c>
      <c r="J455" s="121">
        <v>58532</v>
      </c>
      <c r="K455" s="103">
        <f t="shared" si="53"/>
        <v>255091.40610574093</v>
      </c>
      <c r="L455" s="103">
        <f t="shared" si="54"/>
        <v>155661.62027338473</v>
      </c>
      <c r="M455" s="103">
        <f t="shared" si="55"/>
        <v>99429.785832356196</v>
      </c>
      <c r="N455" s="103">
        <f t="shared" si="56"/>
        <v>9240267.4305707607</v>
      </c>
    </row>
    <row r="456" spans="1:14" hidden="1" x14ac:dyDescent="0.25">
      <c r="A456">
        <v>425</v>
      </c>
      <c r="B456" s="112">
        <v>58562</v>
      </c>
      <c r="C456" s="111">
        <f t="shared" si="51"/>
        <v>234394.37538396832</v>
      </c>
      <c r="D456" s="111">
        <f t="shared" si="52"/>
        <v>134294.23088085963</v>
      </c>
      <c r="E456" s="111">
        <f t="shared" si="57"/>
        <v>100100.14450310869</v>
      </c>
      <c r="F456" s="111">
        <f t="shared" si="58"/>
        <v>8671870.8314504754</v>
      </c>
      <c r="J456" s="121">
        <v>58562</v>
      </c>
      <c r="K456" s="103">
        <f t="shared" si="53"/>
        <v>255091.40610574093</v>
      </c>
      <c r="L456" s="103">
        <f t="shared" si="54"/>
        <v>154004.45717617881</v>
      </c>
      <c r="M456" s="103">
        <f t="shared" si="55"/>
        <v>101086.94892956212</v>
      </c>
      <c r="N456" s="103">
        <f t="shared" si="56"/>
        <v>9139180.4816411994</v>
      </c>
    </row>
    <row r="457" spans="1:14" hidden="1" x14ac:dyDescent="0.25">
      <c r="A457">
        <v>426</v>
      </c>
      <c r="B457" s="112">
        <v>58593</v>
      </c>
      <c r="C457" s="111">
        <f t="shared" si="51"/>
        <v>234394.37538396832</v>
      </c>
      <c r="D457" s="111">
        <f t="shared" si="52"/>
        <v>132761.75067157045</v>
      </c>
      <c r="E457" s="111">
        <f t="shared" si="57"/>
        <v>101632.62471239787</v>
      </c>
      <c r="F457" s="111">
        <f t="shared" si="58"/>
        <v>8570238.2067380771</v>
      </c>
      <c r="J457" s="121">
        <v>58593</v>
      </c>
      <c r="K457" s="103">
        <f t="shared" si="53"/>
        <v>255091.40610574093</v>
      </c>
      <c r="L457" s="103">
        <f t="shared" si="54"/>
        <v>152319.67469401946</v>
      </c>
      <c r="M457" s="103">
        <f t="shared" si="55"/>
        <v>102771.73141172147</v>
      </c>
      <c r="N457" s="103">
        <f t="shared" si="56"/>
        <v>9036408.7502294779</v>
      </c>
    </row>
    <row r="458" spans="1:14" hidden="1" x14ac:dyDescent="0.25">
      <c r="A458">
        <v>427</v>
      </c>
      <c r="B458" s="112">
        <v>58623</v>
      </c>
      <c r="C458" s="111">
        <f t="shared" si="51"/>
        <v>234394.37538396832</v>
      </c>
      <c r="D458" s="111">
        <f t="shared" si="52"/>
        <v>131205.80900172575</v>
      </c>
      <c r="E458" s="111">
        <f t="shared" si="57"/>
        <v>103188.56638224257</v>
      </c>
      <c r="F458" s="111">
        <f t="shared" si="58"/>
        <v>8467049.6403558347</v>
      </c>
      <c r="J458" s="121">
        <v>58623</v>
      </c>
      <c r="K458" s="103">
        <f t="shared" si="53"/>
        <v>255091.40610574093</v>
      </c>
      <c r="L458" s="103">
        <f t="shared" si="54"/>
        <v>150606.8125038241</v>
      </c>
      <c r="M458" s="103">
        <f t="shared" si="55"/>
        <v>104484.59360191683</v>
      </c>
      <c r="N458" s="103">
        <f t="shared" si="56"/>
        <v>8931924.1566275619</v>
      </c>
    </row>
    <row r="459" spans="1:14" hidden="1" x14ac:dyDescent="0.25">
      <c r="A459">
        <v>428</v>
      </c>
      <c r="B459" s="112">
        <v>58654</v>
      </c>
      <c r="C459" s="111">
        <f t="shared" si="51"/>
        <v>234394.37538396832</v>
      </c>
      <c r="D459" s="111">
        <f t="shared" si="52"/>
        <v>129626.04668878726</v>
      </c>
      <c r="E459" s="111">
        <f t="shared" si="57"/>
        <v>104768.32869518106</v>
      </c>
      <c r="F459" s="111">
        <f t="shared" si="58"/>
        <v>8362281.3116606539</v>
      </c>
      <c r="J459" s="121">
        <v>58654</v>
      </c>
      <c r="K459" s="103">
        <f t="shared" si="53"/>
        <v>255091.40610574093</v>
      </c>
      <c r="L459" s="103">
        <f t="shared" si="54"/>
        <v>148865.40261045884</v>
      </c>
      <c r="M459" s="103">
        <f t="shared" si="55"/>
        <v>106226.00349528209</v>
      </c>
      <c r="N459" s="103">
        <f t="shared" si="56"/>
        <v>8825698.1531322803</v>
      </c>
    </row>
    <row r="460" spans="1:14" hidden="1" x14ac:dyDescent="0.25">
      <c r="A460">
        <v>429</v>
      </c>
      <c r="B460" s="112">
        <v>58685</v>
      </c>
      <c r="C460" s="111">
        <f t="shared" si="51"/>
        <v>234394.37538396832</v>
      </c>
      <c r="D460" s="111">
        <f t="shared" si="52"/>
        <v>128022.09905132225</v>
      </c>
      <c r="E460" s="111">
        <f t="shared" si="57"/>
        <v>106372.27633264607</v>
      </c>
      <c r="F460" s="111">
        <f t="shared" si="58"/>
        <v>8255909.0353280082</v>
      </c>
      <c r="J460" s="121">
        <v>58685</v>
      </c>
      <c r="K460" s="103">
        <f t="shared" si="53"/>
        <v>255091.40610574093</v>
      </c>
      <c r="L460" s="103">
        <f t="shared" si="54"/>
        <v>147094.96921887083</v>
      </c>
      <c r="M460" s="103">
        <f t="shared" si="55"/>
        <v>107996.4368868701</v>
      </c>
      <c r="N460" s="103">
        <f t="shared" si="56"/>
        <v>8717701.716245411</v>
      </c>
    </row>
    <row r="461" spans="1:14" hidden="1" x14ac:dyDescent="0.25">
      <c r="A461">
        <v>430</v>
      </c>
      <c r="B461" s="112">
        <v>58715</v>
      </c>
      <c r="C461" s="111">
        <f t="shared" si="51"/>
        <v>234394.37538396832</v>
      </c>
      <c r="D461" s="111">
        <f t="shared" si="52"/>
        <v>126393.59582481835</v>
      </c>
      <c r="E461" s="111">
        <f t="shared" si="57"/>
        <v>108000.77955914997</v>
      </c>
      <c r="F461" s="111">
        <f t="shared" si="58"/>
        <v>8147908.2557688579</v>
      </c>
      <c r="J461" s="121">
        <v>58715</v>
      </c>
      <c r="K461" s="103">
        <f t="shared" si="53"/>
        <v>255091.40610574093</v>
      </c>
      <c r="L461" s="103">
        <f t="shared" si="54"/>
        <v>145295.02860408966</v>
      </c>
      <c r="M461" s="103">
        <f t="shared" si="55"/>
        <v>109796.37750165127</v>
      </c>
      <c r="N461" s="103">
        <f t="shared" si="56"/>
        <v>8607905.3387437593</v>
      </c>
    </row>
    <row r="462" spans="1:14" hidden="1" x14ac:dyDescent="0.25">
      <c r="A462">
        <v>431</v>
      </c>
      <c r="B462" s="112">
        <v>58746</v>
      </c>
      <c r="C462" s="111">
        <f t="shared" si="51"/>
        <v>234394.37538396832</v>
      </c>
      <c r="D462" s="111">
        <f t="shared" si="52"/>
        <v>124740.16107620957</v>
      </c>
      <c r="E462" s="111">
        <f t="shared" si="57"/>
        <v>109654.21430775875</v>
      </c>
      <c r="F462" s="111">
        <f t="shared" si="58"/>
        <v>8038254.0414610989</v>
      </c>
      <c r="J462" s="121">
        <v>58746</v>
      </c>
      <c r="K462" s="103">
        <f t="shared" si="53"/>
        <v>255091.40610574093</v>
      </c>
      <c r="L462" s="103">
        <f t="shared" si="54"/>
        <v>143465.08897906216</v>
      </c>
      <c r="M462" s="103">
        <f t="shared" si="55"/>
        <v>111626.31712667877</v>
      </c>
      <c r="N462" s="103">
        <f t="shared" si="56"/>
        <v>8496279.021617081</v>
      </c>
    </row>
    <row r="463" spans="1:14" hidden="1" x14ac:dyDescent="0.25">
      <c r="A463">
        <v>432</v>
      </c>
      <c r="B463" s="112">
        <v>58776</v>
      </c>
      <c r="C463" s="111">
        <f t="shared" si="51"/>
        <v>234394.37538396832</v>
      </c>
      <c r="D463" s="111">
        <f t="shared" si="52"/>
        <v>123061.41311709373</v>
      </c>
      <c r="E463" s="111">
        <f t="shared" si="57"/>
        <v>111332.96226687459</v>
      </c>
      <c r="F463" s="111">
        <f t="shared" si="58"/>
        <v>7926921.0791942244</v>
      </c>
      <c r="J463" s="121">
        <v>58776</v>
      </c>
      <c r="K463" s="103">
        <f t="shared" si="53"/>
        <v>255091.40610574093</v>
      </c>
      <c r="L463" s="103">
        <f t="shared" si="54"/>
        <v>141604.65036028417</v>
      </c>
      <c r="M463" s="103">
        <f t="shared" si="55"/>
        <v>113486.75574545676</v>
      </c>
      <c r="N463" s="103">
        <f t="shared" si="56"/>
        <v>8382792.2658716245</v>
      </c>
    </row>
    <row r="464" spans="1:14" hidden="1" x14ac:dyDescent="0.25">
      <c r="A464">
        <v>433</v>
      </c>
      <c r="B464" s="112">
        <v>58807</v>
      </c>
      <c r="C464" s="111">
        <f t="shared" si="51"/>
        <v>234394.37538396832</v>
      </c>
      <c r="D464" s="111">
        <f t="shared" si="52"/>
        <v>121356.96441562133</v>
      </c>
      <c r="E464" s="111">
        <f t="shared" si="57"/>
        <v>113037.41096834699</v>
      </c>
      <c r="F464" s="111">
        <f t="shared" si="58"/>
        <v>7813883.668225877</v>
      </c>
      <c r="J464" s="121">
        <v>58807</v>
      </c>
      <c r="K464" s="103">
        <f t="shared" si="53"/>
        <v>255091.40610574093</v>
      </c>
      <c r="L464" s="103">
        <f t="shared" si="54"/>
        <v>139713.20443119324</v>
      </c>
      <c r="M464" s="103">
        <f t="shared" si="55"/>
        <v>115378.20167454769</v>
      </c>
      <c r="N464" s="103">
        <f t="shared" si="56"/>
        <v>8267414.0641970765</v>
      </c>
    </row>
    <row r="465" spans="1:14" hidden="1" x14ac:dyDescent="0.25">
      <c r="A465">
        <v>434</v>
      </c>
      <c r="B465" s="112">
        <v>58838</v>
      </c>
      <c r="C465" s="111">
        <f t="shared" si="51"/>
        <v>234394.37538396832</v>
      </c>
      <c r="D465" s="111">
        <f t="shared" si="52"/>
        <v>119626.42150703543</v>
      </c>
      <c r="E465" s="111">
        <f t="shared" si="57"/>
        <v>114767.95387693289</v>
      </c>
      <c r="F465" s="111">
        <f t="shared" si="58"/>
        <v>7699115.7143489439</v>
      </c>
      <c r="J465" s="121">
        <v>58838</v>
      </c>
      <c r="K465" s="103">
        <f t="shared" si="53"/>
        <v>255091.40610574093</v>
      </c>
      <c r="L465" s="103">
        <f t="shared" si="54"/>
        <v>137790.23440328412</v>
      </c>
      <c r="M465" s="103">
        <f t="shared" si="55"/>
        <v>117301.17170245681</v>
      </c>
      <c r="N465" s="103">
        <f t="shared" si="56"/>
        <v>8150112.8924946198</v>
      </c>
    </row>
    <row r="466" spans="1:14" hidden="1" x14ac:dyDescent="0.25">
      <c r="A466">
        <v>435</v>
      </c>
      <c r="B466" s="112">
        <v>58866</v>
      </c>
      <c r="C466" s="111">
        <f t="shared" si="51"/>
        <v>234394.37538396832</v>
      </c>
      <c r="D466" s="111">
        <f t="shared" si="52"/>
        <v>117869.38490284201</v>
      </c>
      <c r="E466" s="111">
        <f t="shared" si="57"/>
        <v>116524.99048112631</v>
      </c>
      <c r="F466" s="111">
        <f t="shared" si="58"/>
        <v>7582590.7238678178</v>
      </c>
      <c r="J466" s="121">
        <v>58866</v>
      </c>
      <c r="K466" s="103">
        <f t="shared" si="53"/>
        <v>255091.40610574093</v>
      </c>
      <c r="L466" s="103">
        <f t="shared" si="54"/>
        <v>135835.21487490984</v>
      </c>
      <c r="M466" s="103">
        <f t="shared" si="55"/>
        <v>119256.19123083109</v>
      </c>
      <c r="N466" s="103">
        <f t="shared" si="56"/>
        <v>8030856.7012637891</v>
      </c>
    </row>
    <row r="467" spans="1:14" hidden="1" x14ac:dyDescent="0.25">
      <c r="A467">
        <v>436</v>
      </c>
      <c r="B467" s="112">
        <v>58897</v>
      </c>
      <c r="C467" s="111">
        <f t="shared" si="51"/>
        <v>234394.37538396832</v>
      </c>
      <c r="D467" s="111">
        <f t="shared" si="52"/>
        <v>116085.44899858975</v>
      </c>
      <c r="E467" s="111">
        <f t="shared" si="57"/>
        <v>118308.92638537857</v>
      </c>
      <c r="F467" s="111">
        <f t="shared" si="58"/>
        <v>7464281.7974824393</v>
      </c>
      <c r="J467" s="121">
        <v>58897</v>
      </c>
      <c r="K467" s="103">
        <f t="shared" si="53"/>
        <v>255091.40610574093</v>
      </c>
      <c r="L467" s="103">
        <f t="shared" si="54"/>
        <v>133847.61168772934</v>
      </c>
      <c r="M467" s="103">
        <f t="shared" si="55"/>
        <v>121243.79441801159</v>
      </c>
      <c r="N467" s="103">
        <f t="shared" si="56"/>
        <v>7909612.9068457773</v>
      </c>
    </row>
    <row r="468" spans="1:14" hidden="1" x14ac:dyDescent="0.25">
      <c r="A468">
        <v>437</v>
      </c>
      <c r="B468" s="112">
        <v>58927</v>
      </c>
      <c r="C468" s="111">
        <f t="shared" si="51"/>
        <v>234394.37538396832</v>
      </c>
      <c r="D468" s="111">
        <f t="shared" si="52"/>
        <v>114274.20198023792</v>
      </c>
      <c r="E468" s="111">
        <f t="shared" si="57"/>
        <v>120120.1734037304</v>
      </c>
      <c r="F468" s="111">
        <f t="shared" si="58"/>
        <v>7344161.6240787087</v>
      </c>
      <c r="J468" s="121">
        <v>58927</v>
      </c>
      <c r="K468" s="103">
        <f t="shared" si="53"/>
        <v>255091.40610574093</v>
      </c>
      <c r="L468" s="103">
        <f t="shared" si="54"/>
        <v>131826.88178076249</v>
      </c>
      <c r="M468" s="103">
        <f t="shared" si="55"/>
        <v>123264.52432497844</v>
      </c>
      <c r="N468" s="103">
        <f t="shared" si="56"/>
        <v>7786348.3825207986</v>
      </c>
    </row>
    <row r="469" spans="1:14" hidden="1" x14ac:dyDescent="0.25">
      <c r="A469">
        <v>438</v>
      </c>
      <c r="B469" s="112">
        <v>58958</v>
      </c>
      <c r="C469" s="111">
        <f t="shared" si="51"/>
        <v>234394.37538396832</v>
      </c>
      <c r="D469" s="111">
        <f t="shared" si="52"/>
        <v>112435.22572909092</v>
      </c>
      <c r="E469" s="111">
        <f t="shared" si="57"/>
        <v>121959.1496548774</v>
      </c>
      <c r="F469" s="111">
        <f t="shared" si="58"/>
        <v>7222202.4744238313</v>
      </c>
      <c r="J469" s="121">
        <v>58958</v>
      </c>
      <c r="K469" s="103">
        <f t="shared" si="53"/>
        <v>255091.40610574093</v>
      </c>
      <c r="L469" s="103">
        <f t="shared" si="54"/>
        <v>129772.47304201285</v>
      </c>
      <c r="M469" s="103">
        <f t="shared" si="55"/>
        <v>125318.93306372808</v>
      </c>
      <c r="N469" s="103">
        <f t="shared" si="56"/>
        <v>7661029.4494570708</v>
      </c>
    </row>
    <row r="470" spans="1:14" hidden="1" x14ac:dyDescent="0.25">
      <c r="A470">
        <v>439</v>
      </c>
      <c r="B470" s="112">
        <v>58988</v>
      </c>
      <c r="C470" s="111">
        <f t="shared" si="51"/>
        <v>234394.37538396832</v>
      </c>
      <c r="D470" s="111">
        <f t="shared" si="52"/>
        <v>110568.09572527726</v>
      </c>
      <c r="E470" s="111">
        <f t="shared" si="57"/>
        <v>123826.27965869106</v>
      </c>
      <c r="F470" s="111">
        <f t="shared" si="58"/>
        <v>7098376.1947651403</v>
      </c>
      <c r="J470" s="121">
        <v>58988</v>
      </c>
      <c r="K470" s="103">
        <f t="shared" si="53"/>
        <v>255091.40610574093</v>
      </c>
      <c r="L470" s="103">
        <f t="shared" si="54"/>
        <v>127683.82415761739</v>
      </c>
      <c r="M470" s="103">
        <f t="shared" si="55"/>
        <v>127407.58194812354</v>
      </c>
      <c r="N470" s="103">
        <f t="shared" si="56"/>
        <v>7533621.8675089469</v>
      </c>
    </row>
    <row r="471" spans="1:14" hidden="1" x14ac:dyDescent="0.25">
      <c r="A471">
        <v>440</v>
      </c>
      <c r="B471" s="112">
        <v>59019</v>
      </c>
      <c r="C471" s="111">
        <f t="shared" si="51"/>
        <v>234394.37538396832</v>
      </c>
      <c r="D471" s="111">
        <f t="shared" si="52"/>
        <v>108672.38094975107</v>
      </c>
      <c r="E471" s="111">
        <f t="shared" si="57"/>
        <v>125721.99443421725</v>
      </c>
      <c r="F471" s="111">
        <f t="shared" si="58"/>
        <v>6972654.2003309233</v>
      </c>
      <c r="J471" s="121">
        <v>59019</v>
      </c>
      <c r="K471" s="103">
        <f t="shared" si="53"/>
        <v>255091.40610574093</v>
      </c>
      <c r="L471" s="103">
        <f t="shared" si="54"/>
        <v>125560.364458482</v>
      </c>
      <c r="M471" s="103">
        <f t="shared" si="55"/>
        <v>129531.04164725893</v>
      </c>
      <c r="N471" s="103">
        <f t="shared" si="56"/>
        <v>7404090.8258616878</v>
      </c>
    </row>
    <row r="472" spans="1:14" hidden="1" x14ac:dyDescent="0.25">
      <c r="A472">
        <v>441</v>
      </c>
      <c r="B472" s="112">
        <v>59050</v>
      </c>
      <c r="C472" s="111">
        <f t="shared" si="51"/>
        <v>234394.37538396832</v>
      </c>
      <c r="D472" s="111">
        <f t="shared" si="52"/>
        <v>106747.64378479306</v>
      </c>
      <c r="E472" s="111">
        <f t="shared" si="57"/>
        <v>127646.73159917525</v>
      </c>
      <c r="F472" s="111">
        <f t="shared" si="58"/>
        <v>6845007.4687317479</v>
      </c>
      <c r="J472" s="121">
        <v>59050</v>
      </c>
      <c r="K472" s="103">
        <f t="shared" si="53"/>
        <v>255091.40610574093</v>
      </c>
      <c r="L472" s="103">
        <f t="shared" si="54"/>
        <v>123401.51376436102</v>
      </c>
      <c r="M472" s="103">
        <f t="shared" si="55"/>
        <v>131689.89234137989</v>
      </c>
      <c r="N472" s="103">
        <f t="shared" si="56"/>
        <v>7272400.9335203078</v>
      </c>
    </row>
    <row r="473" spans="1:14" hidden="1" x14ac:dyDescent="0.25">
      <c r="A473">
        <v>442</v>
      </c>
      <c r="B473" s="112">
        <v>59080</v>
      </c>
      <c r="C473" s="111">
        <f t="shared" si="51"/>
        <v>234394.37538396832</v>
      </c>
      <c r="D473" s="111">
        <f t="shared" si="52"/>
        <v>104793.43991298838</v>
      </c>
      <c r="E473" s="111">
        <f t="shared" si="57"/>
        <v>129600.93547097994</v>
      </c>
      <c r="F473" s="111">
        <f t="shared" si="58"/>
        <v>6715406.5332607683</v>
      </c>
      <c r="J473" s="121">
        <v>59080</v>
      </c>
      <c r="K473" s="103">
        <f t="shared" si="53"/>
        <v>255091.40610574093</v>
      </c>
      <c r="L473" s="103">
        <f t="shared" si="54"/>
        <v>121206.68222533804</v>
      </c>
      <c r="M473" s="103">
        <f t="shared" si="55"/>
        <v>133884.72388040289</v>
      </c>
      <c r="N473" s="103">
        <f t="shared" si="56"/>
        <v>7138516.209639905</v>
      </c>
    </row>
    <row r="474" spans="1:14" hidden="1" x14ac:dyDescent="0.25">
      <c r="A474">
        <v>443</v>
      </c>
      <c r="B474" s="112">
        <v>59111</v>
      </c>
      <c r="C474" s="111">
        <f t="shared" si="51"/>
        <v>234394.37538396832</v>
      </c>
      <c r="D474" s="111">
        <f t="shared" si="52"/>
        <v>102809.31821465785</v>
      </c>
      <c r="E474" s="111">
        <f t="shared" si="57"/>
        <v>131585.05716931046</v>
      </c>
      <c r="F474" s="111">
        <f t="shared" si="58"/>
        <v>6583821.4760914575</v>
      </c>
      <c r="J474" s="121">
        <v>59111</v>
      </c>
      <c r="K474" s="103">
        <f t="shared" si="53"/>
        <v>255091.40610574093</v>
      </c>
      <c r="L474" s="103">
        <f t="shared" si="54"/>
        <v>118975.27016066466</v>
      </c>
      <c r="M474" s="103">
        <f t="shared" si="55"/>
        <v>136116.13594507627</v>
      </c>
      <c r="N474" s="103">
        <f t="shared" si="56"/>
        <v>7002400.0736948289</v>
      </c>
    </row>
    <row r="475" spans="1:14" hidden="1" x14ac:dyDescent="0.25">
      <c r="A475">
        <v>444</v>
      </c>
      <c r="B475" s="112">
        <v>59141</v>
      </c>
      <c r="C475" s="111">
        <f t="shared" si="51"/>
        <v>234394.37538396832</v>
      </c>
      <c r="D475" s="111">
        <f t="shared" si="52"/>
        <v>100794.82066371884</v>
      </c>
      <c r="E475" s="111">
        <f t="shared" si="57"/>
        <v>133599.55472024949</v>
      </c>
      <c r="F475" s="111">
        <f t="shared" si="58"/>
        <v>6450221.9213712085</v>
      </c>
      <c r="J475" s="121">
        <v>59141</v>
      </c>
      <c r="K475" s="103">
        <f t="shared" si="53"/>
        <v>255091.40610574093</v>
      </c>
      <c r="L475" s="103">
        <f t="shared" si="54"/>
        <v>116706.66789491341</v>
      </c>
      <c r="M475" s="103">
        <f t="shared" si="55"/>
        <v>138384.73821082752</v>
      </c>
      <c r="N475" s="103">
        <f t="shared" si="56"/>
        <v>6864015.3354840018</v>
      </c>
    </row>
    <row r="476" spans="1:14" hidden="1" x14ac:dyDescent="0.25">
      <c r="A476">
        <v>445</v>
      </c>
      <c r="B476" s="112">
        <v>59172</v>
      </c>
      <c r="C476" s="111">
        <f t="shared" si="51"/>
        <v>234394.37538396832</v>
      </c>
      <c r="D476" s="111">
        <f t="shared" si="52"/>
        <v>98749.48222195197</v>
      </c>
      <c r="E476" s="111">
        <f t="shared" si="57"/>
        <v>135644.89316201635</v>
      </c>
      <c r="F476" s="111">
        <f t="shared" si="58"/>
        <v>6314577.0282091917</v>
      </c>
      <c r="J476" s="121">
        <v>59172</v>
      </c>
      <c r="K476" s="103">
        <f t="shared" si="53"/>
        <v>255091.40610574093</v>
      </c>
      <c r="L476" s="103">
        <f t="shared" si="54"/>
        <v>114400.25559139962</v>
      </c>
      <c r="M476" s="103">
        <f t="shared" si="55"/>
        <v>140691.15051434131</v>
      </c>
      <c r="N476" s="103">
        <f t="shared" si="56"/>
        <v>6723324.1849696608</v>
      </c>
    </row>
    <row r="477" spans="1:14" hidden="1" x14ac:dyDescent="0.25">
      <c r="A477">
        <v>446</v>
      </c>
      <c r="B477" s="112">
        <v>59203</v>
      </c>
      <c r="C477" s="111">
        <f t="shared" si="51"/>
        <v>234394.37538396832</v>
      </c>
      <c r="D477" s="111">
        <f t="shared" si="52"/>
        <v>96672.830731648879</v>
      </c>
      <c r="E477" s="111">
        <f t="shared" si="57"/>
        <v>137721.54465231946</v>
      </c>
      <c r="F477" s="111">
        <f t="shared" si="58"/>
        <v>6176855.4835568722</v>
      </c>
      <c r="J477" s="121">
        <v>59203</v>
      </c>
      <c r="K477" s="103">
        <f t="shared" si="53"/>
        <v>255091.40610574093</v>
      </c>
      <c r="L477" s="103">
        <f t="shared" si="54"/>
        <v>112055.40308282728</v>
      </c>
      <c r="M477" s="103">
        <f t="shared" si="55"/>
        <v>143036.00302291365</v>
      </c>
      <c r="N477" s="103">
        <f t="shared" si="56"/>
        <v>6580288.181946747</v>
      </c>
    </row>
    <row r="478" spans="1:14" hidden="1" x14ac:dyDescent="0.25">
      <c r="A478">
        <v>447</v>
      </c>
      <c r="B478" s="112">
        <v>59231</v>
      </c>
      <c r="C478" s="111">
        <f t="shared" si="51"/>
        <v>234394.37538396832</v>
      </c>
      <c r="D478" s="111">
        <f t="shared" si="52"/>
        <v>94564.386806616792</v>
      </c>
      <c r="E478" s="111">
        <f t="shared" si="57"/>
        <v>139829.98857735153</v>
      </c>
      <c r="F478" s="111">
        <f t="shared" si="58"/>
        <v>6037025.4949795203</v>
      </c>
      <c r="J478" s="121">
        <v>59231</v>
      </c>
      <c r="K478" s="103">
        <f t="shared" si="53"/>
        <v>255091.40610574093</v>
      </c>
      <c r="L478" s="103">
        <f t="shared" si="54"/>
        <v>109671.46969911206</v>
      </c>
      <c r="M478" s="103">
        <f t="shared" si="55"/>
        <v>145419.93640662887</v>
      </c>
      <c r="N478" s="103">
        <f t="shared" si="56"/>
        <v>6434868.2455401178</v>
      </c>
    </row>
    <row r="479" spans="1:14" hidden="1" x14ac:dyDescent="0.25">
      <c r="A479">
        <v>448</v>
      </c>
      <c r="B479" s="112">
        <v>59262</v>
      </c>
      <c r="C479" s="111">
        <f t="shared" si="51"/>
        <v>234394.37538396832</v>
      </c>
      <c r="D479" s="111">
        <f t="shared" si="52"/>
        <v>92423.663721514065</v>
      </c>
      <c r="E479" s="111">
        <f t="shared" si="57"/>
        <v>141970.71166245424</v>
      </c>
      <c r="F479" s="111">
        <f t="shared" si="58"/>
        <v>5895054.7833170658</v>
      </c>
      <c r="J479" s="121">
        <v>59262</v>
      </c>
      <c r="K479" s="103">
        <f t="shared" si="53"/>
        <v>255091.40610574093</v>
      </c>
      <c r="L479" s="103">
        <f t="shared" si="54"/>
        <v>107247.80409233492</v>
      </c>
      <c r="M479" s="103">
        <f t="shared" si="55"/>
        <v>147843.60201340599</v>
      </c>
      <c r="N479" s="103">
        <f t="shared" si="56"/>
        <v>6287024.6435267115</v>
      </c>
    </row>
    <row r="480" spans="1:14" hidden="1" x14ac:dyDescent="0.25">
      <c r="A480">
        <v>449</v>
      </c>
      <c r="B480" s="112">
        <v>59292</v>
      </c>
      <c r="C480" s="111">
        <f t="shared" ref="C480:C511" si="59">x</f>
        <v>234394.37538396832</v>
      </c>
      <c r="D480" s="111">
        <f t="shared" ref="D480:D511" si="60">F479*((1+ANNUAL_INTEREST_RATE)^(1/12)-1)</f>
        <v>90250.167299491877</v>
      </c>
      <c r="E480" s="111">
        <f t="shared" si="57"/>
        <v>144144.20808447644</v>
      </c>
      <c r="F480" s="111">
        <f t="shared" si="58"/>
        <v>5750910.5752325896</v>
      </c>
      <c r="J480" s="121">
        <v>59292</v>
      </c>
      <c r="K480" s="103">
        <f t="shared" si="53"/>
        <v>255091.40610574093</v>
      </c>
      <c r="L480" s="103">
        <f t="shared" si="54"/>
        <v>104783.74405877815</v>
      </c>
      <c r="M480" s="103">
        <f t="shared" si="55"/>
        <v>150307.66204696277</v>
      </c>
      <c r="N480" s="103">
        <f t="shared" si="56"/>
        <v>6136716.9814797491</v>
      </c>
    </row>
    <row r="481" spans="1:14" hidden="1" x14ac:dyDescent="0.25">
      <c r="A481">
        <v>450</v>
      </c>
      <c r="B481" s="112">
        <v>59323</v>
      </c>
      <c r="C481" s="111">
        <f t="shared" si="59"/>
        <v>234394.37538396832</v>
      </c>
      <c r="D481" s="111">
        <f t="shared" si="60"/>
        <v>88043.395798115467</v>
      </c>
      <c r="E481" s="111">
        <f t="shared" si="57"/>
        <v>146350.97958585285</v>
      </c>
      <c r="F481" s="111">
        <f t="shared" si="58"/>
        <v>5604559.5956467371</v>
      </c>
      <c r="J481" s="121">
        <v>59323</v>
      </c>
      <c r="K481" s="103">
        <f t="shared" ref="K481:K511" si="61">$L$23</f>
        <v>255091.40610574093</v>
      </c>
      <c r="L481" s="103">
        <f t="shared" ref="L481:L511" si="62">N480*((1+$L$5)^(1/12)-1)</f>
        <v>102278.61635799546</v>
      </c>
      <c r="M481" s="103">
        <f t="shared" ref="M481:M511" si="63">K481-L481</f>
        <v>152812.78974774547</v>
      </c>
      <c r="N481" s="103">
        <f t="shared" ref="N481:N511" si="64">N480-M481</f>
        <v>5983904.1917320034</v>
      </c>
    </row>
    <row r="482" spans="1:14" hidden="1" x14ac:dyDescent="0.25">
      <c r="A482">
        <v>451</v>
      </c>
      <c r="B482" s="112">
        <v>59353</v>
      </c>
      <c r="C482" s="111">
        <f t="shared" si="59"/>
        <v>234394.37538396832</v>
      </c>
      <c r="D482" s="111">
        <f t="shared" si="60"/>
        <v>85802.839793539097</v>
      </c>
      <c r="E482" s="111">
        <f t="shared" si="57"/>
        <v>148591.53559042921</v>
      </c>
      <c r="F482" s="111">
        <f t="shared" si="58"/>
        <v>5455968.0600563083</v>
      </c>
      <c r="J482" s="121">
        <v>59353</v>
      </c>
      <c r="K482" s="103">
        <f t="shared" si="61"/>
        <v>255091.40610574093</v>
      </c>
      <c r="L482" s="103">
        <f t="shared" si="62"/>
        <v>99731.736528866371</v>
      </c>
      <c r="M482" s="103">
        <f t="shared" si="63"/>
        <v>155359.66957687456</v>
      </c>
      <c r="N482" s="103">
        <f t="shared" si="64"/>
        <v>5828544.5221551284</v>
      </c>
    </row>
    <row r="483" spans="1:14" hidden="1" x14ac:dyDescent="0.25">
      <c r="A483">
        <v>452</v>
      </c>
      <c r="B483" s="112">
        <v>59384</v>
      </c>
      <c r="C483" s="111">
        <f t="shared" si="59"/>
        <v>234394.37538396832</v>
      </c>
      <c r="D483" s="111">
        <f t="shared" si="60"/>
        <v>83527.982062907671</v>
      </c>
      <c r="E483" s="111">
        <f t="shared" si="57"/>
        <v>150866.39332106063</v>
      </c>
      <c r="F483" s="111">
        <f t="shared" si="58"/>
        <v>5305101.6667352477</v>
      </c>
      <c r="J483" s="121">
        <v>59384</v>
      </c>
      <c r="K483" s="103">
        <f t="shared" si="61"/>
        <v>255091.40610574093</v>
      </c>
      <c r="L483" s="103">
        <f t="shared" si="62"/>
        <v>97142.408702585133</v>
      </c>
      <c r="M483" s="103">
        <f t="shared" si="63"/>
        <v>157948.99740315578</v>
      </c>
      <c r="N483" s="103">
        <f t="shared" si="64"/>
        <v>5670595.5247519724</v>
      </c>
    </row>
    <row r="484" spans="1:14" hidden="1" x14ac:dyDescent="0.25">
      <c r="A484">
        <v>453</v>
      </c>
      <c r="B484" s="112">
        <v>59415</v>
      </c>
      <c r="C484" s="111">
        <f t="shared" si="59"/>
        <v>234394.37538396832</v>
      </c>
      <c r="D484" s="111">
        <f t="shared" si="60"/>
        <v>81218.297464958057</v>
      </c>
      <c r="E484" s="111">
        <f t="shared" ref="E484:E510" si="65">C484-D484</f>
        <v>153176.07791901025</v>
      </c>
      <c r="F484" s="111">
        <f t="shared" ref="F484:F510" si="66">F483-E484</f>
        <v>5151925.5888162376</v>
      </c>
      <c r="J484" s="121">
        <v>59415</v>
      </c>
      <c r="K484" s="103">
        <f t="shared" si="61"/>
        <v>255091.40610574093</v>
      </c>
      <c r="L484" s="103">
        <f t="shared" si="62"/>
        <v>94509.925412532539</v>
      </c>
      <c r="M484" s="103">
        <f t="shared" si="63"/>
        <v>160581.4806932084</v>
      </c>
      <c r="N484" s="103">
        <f t="shared" si="64"/>
        <v>5510014.0440587644</v>
      </c>
    </row>
    <row r="485" spans="1:14" hidden="1" x14ac:dyDescent="0.25">
      <c r="A485">
        <v>454</v>
      </c>
      <c r="B485" s="112">
        <v>59445</v>
      </c>
      <c r="C485" s="111">
        <f t="shared" si="59"/>
        <v>234394.37538396832</v>
      </c>
      <c r="D485" s="111">
        <f t="shared" si="60"/>
        <v>78873.252818792447</v>
      </c>
      <c r="E485" s="111">
        <f t="shared" si="65"/>
        <v>155521.12256517587</v>
      </c>
      <c r="F485" s="111">
        <f t="shared" si="66"/>
        <v>4996404.4662510622</v>
      </c>
      <c r="J485" s="121">
        <v>59445</v>
      </c>
      <c r="K485" s="103">
        <f t="shared" si="61"/>
        <v>255091.40610574093</v>
      </c>
      <c r="L485" s="103">
        <f t="shared" si="62"/>
        <v>91833.567400979082</v>
      </c>
      <c r="M485" s="103">
        <f t="shared" si="63"/>
        <v>163257.83870476185</v>
      </c>
      <c r="N485" s="103">
        <f t="shared" si="64"/>
        <v>5346756.2053540023</v>
      </c>
    </row>
    <row r="486" spans="1:14" hidden="1" x14ac:dyDescent="0.25">
      <c r="A486">
        <v>455</v>
      </c>
      <c r="B486" s="112">
        <v>59476</v>
      </c>
      <c r="C486" s="111">
        <f t="shared" si="59"/>
        <v>234394.37538396832</v>
      </c>
      <c r="D486" s="111">
        <f t="shared" si="60"/>
        <v>76492.306780795814</v>
      </c>
      <c r="E486" s="111">
        <f t="shared" si="65"/>
        <v>157902.06860317249</v>
      </c>
      <c r="F486" s="111">
        <f t="shared" si="66"/>
        <v>4838502.3976478893</v>
      </c>
      <c r="J486" s="121">
        <v>59476</v>
      </c>
      <c r="K486" s="103">
        <f t="shared" si="61"/>
        <v>255091.40610574093</v>
      </c>
      <c r="L486" s="103">
        <f t="shared" si="62"/>
        <v>89112.60342256639</v>
      </c>
      <c r="M486" s="103">
        <f t="shared" si="63"/>
        <v>165978.80268317455</v>
      </c>
      <c r="N486" s="103">
        <f t="shared" si="64"/>
        <v>5180777.4026708277</v>
      </c>
    </row>
    <row r="487" spans="1:14" hidden="1" x14ac:dyDescent="0.25">
      <c r="A487">
        <v>456</v>
      </c>
      <c r="B487" s="112">
        <v>59506</v>
      </c>
      <c r="C487" s="111">
        <f t="shared" si="59"/>
        <v>234394.37538396832</v>
      </c>
      <c r="D487" s="111">
        <f t="shared" si="60"/>
        <v>74074.909719669013</v>
      </c>
      <c r="E487" s="111">
        <f t="shared" si="65"/>
        <v>160319.46566429932</v>
      </c>
      <c r="F487" s="111">
        <f t="shared" si="66"/>
        <v>4678182.9319835901</v>
      </c>
      <c r="J487" s="121">
        <v>59506</v>
      </c>
      <c r="K487" s="103">
        <f t="shared" si="61"/>
        <v>255091.40610574093</v>
      </c>
      <c r="L487" s="103">
        <f t="shared" si="62"/>
        <v>86346.290044513487</v>
      </c>
      <c r="M487" s="103">
        <f t="shared" si="63"/>
        <v>168745.11606122745</v>
      </c>
      <c r="N487" s="103">
        <f t="shared" si="64"/>
        <v>5012032.2866096003</v>
      </c>
    </row>
    <row r="488" spans="1:14" hidden="1" x14ac:dyDescent="0.25">
      <c r="A488">
        <v>457</v>
      </c>
      <c r="B488" s="112">
        <v>59537</v>
      </c>
      <c r="C488" s="111">
        <f t="shared" si="59"/>
        <v>234394.37538396832</v>
      </c>
      <c r="D488" s="111">
        <f t="shared" si="60"/>
        <v>71620.503589548753</v>
      </c>
      <c r="E488" s="111">
        <f t="shared" si="65"/>
        <v>162773.87179441957</v>
      </c>
      <c r="F488" s="111">
        <f t="shared" si="66"/>
        <v>4515409.0601891708</v>
      </c>
      <c r="J488" s="121">
        <v>59537</v>
      </c>
      <c r="K488" s="103">
        <f t="shared" si="61"/>
        <v>255091.40610574093</v>
      </c>
      <c r="L488" s="103">
        <f t="shared" si="62"/>
        <v>83533.871443493044</v>
      </c>
      <c r="M488" s="103">
        <f t="shared" si="63"/>
        <v>171557.53466224787</v>
      </c>
      <c r="N488" s="103">
        <f t="shared" si="64"/>
        <v>4840474.7519473527</v>
      </c>
    </row>
    <row r="489" spans="1:14" hidden="1" x14ac:dyDescent="0.25">
      <c r="A489">
        <v>458</v>
      </c>
      <c r="B489" s="112">
        <v>59568</v>
      </c>
      <c r="C489" s="111">
        <f t="shared" si="59"/>
        <v>234394.37538396832</v>
      </c>
      <c r="D489" s="111">
        <f t="shared" si="60"/>
        <v>69128.521801185052</v>
      </c>
      <c r="E489" s="111">
        <f t="shared" si="65"/>
        <v>165265.85358278325</v>
      </c>
      <c r="F489" s="111">
        <f t="shared" si="66"/>
        <v>4350143.2066063872</v>
      </c>
      <c r="J489" s="121">
        <v>59568</v>
      </c>
      <c r="K489" s="103">
        <f t="shared" si="61"/>
        <v>255091.40610574093</v>
      </c>
      <c r="L489" s="103">
        <f t="shared" si="62"/>
        <v>80674.579199122265</v>
      </c>
      <c r="M489" s="103">
        <f t="shared" si="63"/>
        <v>174416.82690661866</v>
      </c>
      <c r="N489" s="103">
        <f t="shared" si="64"/>
        <v>4666057.925040734</v>
      </c>
    </row>
    <row r="490" spans="1:14" hidden="1" x14ac:dyDescent="0.25">
      <c r="A490">
        <v>459</v>
      </c>
      <c r="B490" s="112">
        <v>59596</v>
      </c>
      <c r="C490" s="111">
        <f t="shared" si="59"/>
        <v>234394.37538396832</v>
      </c>
      <c r="D490" s="111">
        <f t="shared" si="60"/>
        <v>66598.389091146542</v>
      </c>
      <c r="E490" s="111">
        <f t="shared" si="65"/>
        <v>167795.98629282176</v>
      </c>
      <c r="F490" s="111">
        <f t="shared" si="66"/>
        <v>4182347.2203135653</v>
      </c>
      <c r="J490" s="121">
        <v>59596</v>
      </c>
      <c r="K490" s="103">
        <f t="shared" si="61"/>
        <v>255091.40610574093</v>
      </c>
      <c r="L490" s="103">
        <f t="shared" si="62"/>
        <v>77767.632084011959</v>
      </c>
      <c r="M490" s="103">
        <f t="shared" si="63"/>
        <v>177323.77402172895</v>
      </c>
      <c r="N490" s="103">
        <f t="shared" si="64"/>
        <v>4488734.1510190051</v>
      </c>
    </row>
    <row r="491" spans="1:14" hidden="1" x14ac:dyDescent="0.25">
      <c r="A491">
        <v>460</v>
      </c>
      <c r="B491" s="112">
        <v>59627</v>
      </c>
      <c r="C491" s="111">
        <f t="shared" si="59"/>
        <v>234394.37538396832</v>
      </c>
      <c r="D491" s="111">
        <f t="shared" si="60"/>
        <v>64029.521389023284</v>
      </c>
      <c r="E491" s="111">
        <f t="shared" si="65"/>
        <v>170364.85399494504</v>
      </c>
      <c r="F491" s="111">
        <f t="shared" si="66"/>
        <v>4011982.3663186203</v>
      </c>
      <c r="J491" s="121">
        <v>59627</v>
      </c>
      <c r="K491" s="103">
        <f t="shared" si="61"/>
        <v>255091.40610574093</v>
      </c>
      <c r="L491" s="103">
        <f t="shared" si="62"/>
        <v>74812.235850316487</v>
      </c>
      <c r="M491" s="103">
        <f t="shared" si="63"/>
        <v>180279.17025542445</v>
      </c>
      <c r="N491" s="103">
        <f t="shared" si="64"/>
        <v>4308454.9807635807</v>
      </c>
    </row>
    <row r="492" spans="1:14" hidden="1" x14ac:dyDescent="0.25">
      <c r="A492">
        <v>461</v>
      </c>
      <c r="B492" s="112">
        <v>59657</v>
      </c>
      <c r="C492" s="111">
        <f t="shared" si="59"/>
        <v>234394.37538396832</v>
      </c>
      <c r="D492" s="111">
        <f t="shared" si="60"/>
        <v>61421.32568259666</v>
      </c>
      <c r="E492" s="111">
        <f t="shared" si="65"/>
        <v>172973.04970137167</v>
      </c>
      <c r="F492" s="111">
        <f t="shared" si="66"/>
        <v>3839009.3166172486</v>
      </c>
      <c r="J492" s="121">
        <v>59657</v>
      </c>
      <c r="K492" s="103">
        <f t="shared" si="61"/>
        <v>255091.40610574093</v>
      </c>
      <c r="L492" s="103">
        <f t="shared" si="62"/>
        <v>71807.583012726085</v>
      </c>
      <c r="M492" s="103">
        <f t="shared" si="63"/>
        <v>183283.82309301483</v>
      </c>
      <c r="N492" s="103">
        <f t="shared" si="64"/>
        <v>4125171.1576705659</v>
      </c>
    </row>
    <row r="493" spans="1:14" hidden="1" x14ac:dyDescent="0.25">
      <c r="A493">
        <v>462</v>
      </c>
      <c r="B493" s="112">
        <v>59688</v>
      </c>
      <c r="C493" s="111">
        <f t="shared" si="59"/>
        <v>234394.37538396832</v>
      </c>
      <c r="D493" s="111">
        <f t="shared" si="60"/>
        <v>58773.199880944972</v>
      </c>
      <c r="E493" s="111">
        <f t="shared" si="65"/>
        <v>175621.17550302335</v>
      </c>
      <c r="F493" s="111">
        <f t="shared" si="66"/>
        <v>3663388.1411142251</v>
      </c>
      <c r="J493" s="121">
        <v>59688</v>
      </c>
      <c r="K493" s="103">
        <f t="shared" si="61"/>
        <v>255091.40610574093</v>
      </c>
      <c r="L493" s="103">
        <f t="shared" si="62"/>
        <v>68752.852627842527</v>
      </c>
      <c r="M493" s="103">
        <f t="shared" si="63"/>
        <v>186338.55347789841</v>
      </c>
      <c r="N493" s="103">
        <f t="shared" si="64"/>
        <v>3938832.6041926676</v>
      </c>
    </row>
    <row r="494" spans="1:14" hidden="1" x14ac:dyDescent="0.25">
      <c r="A494">
        <v>463</v>
      </c>
      <c r="B494" s="112">
        <v>59718</v>
      </c>
      <c r="C494" s="111">
        <f t="shared" si="59"/>
        <v>234394.37538396832</v>
      </c>
      <c r="D494" s="111">
        <f t="shared" si="60"/>
        <v>56084.532675453323</v>
      </c>
      <c r="E494" s="111">
        <f t="shared" si="65"/>
        <v>178309.842708515</v>
      </c>
      <c r="F494" s="111">
        <f t="shared" si="66"/>
        <v>3485078.2984057101</v>
      </c>
      <c r="J494" s="121">
        <v>59718</v>
      </c>
      <c r="K494" s="103">
        <f t="shared" si="61"/>
        <v>255091.40610574093</v>
      </c>
      <c r="L494" s="103">
        <f t="shared" si="62"/>
        <v>65647.210069877561</v>
      </c>
      <c r="M494" s="103">
        <f t="shared" si="63"/>
        <v>189444.19603586337</v>
      </c>
      <c r="N494" s="103">
        <f t="shared" si="64"/>
        <v>3749388.4081568043</v>
      </c>
    </row>
    <row r="495" spans="1:14" hidden="1" x14ac:dyDescent="0.25">
      <c r="A495">
        <v>464</v>
      </c>
      <c r="B495" s="112">
        <v>59749</v>
      </c>
      <c r="C495" s="111">
        <f t="shared" si="59"/>
        <v>234394.37538396832</v>
      </c>
      <c r="D495" s="111">
        <f t="shared" si="60"/>
        <v>53354.703398695601</v>
      </c>
      <c r="E495" s="111">
        <f t="shared" si="65"/>
        <v>181039.67198527273</v>
      </c>
      <c r="F495" s="111">
        <f t="shared" si="66"/>
        <v>3304038.6264204374</v>
      </c>
      <c r="J495" s="121">
        <v>59749</v>
      </c>
      <c r="K495" s="103">
        <f t="shared" si="61"/>
        <v>255091.40610574093</v>
      </c>
      <c r="L495" s="103">
        <f t="shared" si="62"/>
        <v>62489.80680261318</v>
      </c>
      <c r="M495" s="103">
        <f t="shared" si="63"/>
        <v>192601.59930312773</v>
      </c>
      <c r="N495" s="103">
        <f t="shared" si="64"/>
        <v>3556786.8088536765</v>
      </c>
    </row>
    <row r="496" spans="1:14" hidden="1" x14ac:dyDescent="0.25">
      <c r="A496">
        <v>465</v>
      </c>
      <c r="B496" s="112">
        <v>59780</v>
      </c>
      <c r="C496" s="111">
        <f t="shared" si="59"/>
        <v>234394.37538396832</v>
      </c>
      <c r="D496" s="111">
        <f t="shared" si="60"/>
        <v>50583.081881156053</v>
      </c>
      <c r="E496" s="111">
        <f t="shared" si="65"/>
        <v>183811.29350281227</v>
      </c>
      <c r="F496" s="111">
        <f t="shared" si="66"/>
        <v>3120227.3329176251</v>
      </c>
      <c r="J496" s="121">
        <v>59780</v>
      </c>
      <c r="K496" s="103">
        <f t="shared" si="61"/>
        <v>255091.40610574093</v>
      </c>
      <c r="L496" s="103">
        <f t="shared" si="62"/>
        <v>59279.780147561069</v>
      </c>
      <c r="M496" s="103">
        <f t="shared" si="63"/>
        <v>195811.62595817985</v>
      </c>
      <c r="N496" s="103">
        <f t="shared" si="64"/>
        <v>3360975.1828954965</v>
      </c>
    </row>
    <row r="497" spans="1:14" hidden="1" x14ac:dyDescent="0.25">
      <c r="A497">
        <v>466</v>
      </c>
      <c r="B497" s="112">
        <v>59810</v>
      </c>
      <c r="C497" s="111">
        <f t="shared" si="59"/>
        <v>234394.37538396832</v>
      </c>
      <c r="D497" s="111">
        <f t="shared" si="60"/>
        <v>47769.028305757318</v>
      </c>
      <c r="E497" s="111">
        <f t="shared" si="65"/>
        <v>186625.34707821099</v>
      </c>
      <c r="F497" s="111">
        <f t="shared" si="66"/>
        <v>2933601.9858394139</v>
      </c>
      <c r="J497" s="121">
        <v>59810</v>
      </c>
      <c r="K497" s="103">
        <f t="shared" si="61"/>
        <v>255091.40610574093</v>
      </c>
      <c r="L497" s="103">
        <f t="shared" si="62"/>
        <v>56016.253048258077</v>
      </c>
      <c r="M497" s="103">
        <f t="shared" si="63"/>
        <v>199075.15305748285</v>
      </c>
      <c r="N497" s="103">
        <f t="shared" si="64"/>
        <v>3161900.0298380135</v>
      </c>
    </row>
    <row r="498" spans="1:14" hidden="1" x14ac:dyDescent="0.25">
      <c r="A498">
        <v>467</v>
      </c>
      <c r="B498" s="112">
        <v>59841</v>
      </c>
      <c r="C498" s="111">
        <f t="shared" si="59"/>
        <v>234394.37538396832</v>
      </c>
      <c r="D498" s="111">
        <f t="shared" si="60"/>
        <v>44911.893060161354</v>
      </c>
      <c r="E498" s="111">
        <f t="shared" si="65"/>
        <v>189482.48232380697</v>
      </c>
      <c r="F498" s="111">
        <f t="shared" si="66"/>
        <v>2744119.5035156067</v>
      </c>
      <c r="J498" s="121">
        <v>59841</v>
      </c>
      <c r="K498" s="103">
        <f t="shared" si="61"/>
        <v>255091.40610574093</v>
      </c>
      <c r="L498" s="103">
        <f t="shared" si="62"/>
        <v>52698.333830633368</v>
      </c>
      <c r="M498" s="103">
        <f t="shared" si="63"/>
        <v>202393.07227510755</v>
      </c>
      <c r="N498" s="103">
        <f t="shared" si="64"/>
        <v>2959506.9575629057</v>
      </c>
    </row>
    <row r="499" spans="1:14" hidden="1" x14ac:dyDescent="0.25">
      <c r="A499">
        <v>468</v>
      </c>
      <c r="B499" s="112">
        <v>59871</v>
      </c>
      <c r="C499" s="111">
        <f t="shared" si="59"/>
        <v>234394.37538396832</v>
      </c>
      <c r="D499" s="111">
        <f t="shared" si="60"/>
        <v>42011.016586809186</v>
      </c>
      <c r="E499" s="111">
        <f t="shared" si="65"/>
        <v>192383.35879715913</v>
      </c>
      <c r="F499" s="111">
        <f t="shared" si="66"/>
        <v>2551736.1447184477</v>
      </c>
      <c r="J499" s="121">
        <v>59871</v>
      </c>
      <c r="K499" s="103">
        <f t="shared" si="61"/>
        <v>255091.40610574093</v>
      </c>
      <c r="L499" s="103">
        <f t="shared" si="62"/>
        <v>49325.11595938159</v>
      </c>
      <c r="M499" s="103">
        <f t="shared" si="63"/>
        <v>205766.29014635933</v>
      </c>
      <c r="N499" s="103">
        <f t="shared" si="64"/>
        <v>2753740.6674165465</v>
      </c>
    </row>
    <row r="500" spans="1:14" hidden="1" x14ac:dyDescent="0.25">
      <c r="A500">
        <v>469</v>
      </c>
      <c r="B500" s="112">
        <v>59902</v>
      </c>
      <c r="C500" s="111">
        <f t="shared" si="59"/>
        <v>234394.37538396832</v>
      </c>
      <c r="D500" s="111">
        <f t="shared" si="60"/>
        <v>39065.729230664881</v>
      </c>
      <c r="E500" s="111">
        <f t="shared" si="65"/>
        <v>195328.64615330345</v>
      </c>
      <c r="F500" s="111">
        <f t="shared" si="66"/>
        <v>2356407.4985651444</v>
      </c>
      <c r="J500" s="121">
        <v>59902</v>
      </c>
      <c r="K500" s="103">
        <f t="shared" si="61"/>
        <v>255091.40610574093</v>
      </c>
      <c r="L500" s="103">
        <f t="shared" si="62"/>
        <v>45895.677790275615</v>
      </c>
      <c r="M500" s="103">
        <f t="shared" si="63"/>
        <v>209195.72831546533</v>
      </c>
      <c r="N500" s="103">
        <f t="shared" si="64"/>
        <v>2544544.9391010813</v>
      </c>
    </row>
    <row r="501" spans="1:14" hidden="1" x14ac:dyDescent="0.25">
      <c r="A501">
        <v>470</v>
      </c>
      <c r="B501" s="112">
        <v>59933</v>
      </c>
      <c r="C501" s="111">
        <f t="shared" si="59"/>
        <v>234394.37538396832</v>
      </c>
      <c r="D501" s="111">
        <f t="shared" si="60"/>
        <v>36075.351084628448</v>
      </c>
      <c r="E501" s="111">
        <f t="shared" si="65"/>
        <v>198319.02429933986</v>
      </c>
      <c r="F501" s="111">
        <f t="shared" si="66"/>
        <v>2158088.4742658045</v>
      </c>
      <c r="J501" s="121">
        <v>59933</v>
      </c>
      <c r="K501" s="103">
        <f t="shared" si="61"/>
        <v>255091.40610574093</v>
      </c>
      <c r="L501" s="103">
        <f t="shared" si="62"/>
        <v>42409.082318351204</v>
      </c>
      <c r="M501" s="103">
        <f t="shared" si="63"/>
        <v>212682.32378738973</v>
      </c>
      <c r="N501" s="103">
        <f t="shared" si="64"/>
        <v>2331862.6153136916</v>
      </c>
    </row>
    <row r="502" spans="1:14" hidden="1" x14ac:dyDescent="0.25">
      <c r="A502">
        <v>471</v>
      </c>
      <c r="B502" s="112">
        <v>59962</v>
      </c>
      <c r="C502" s="111">
        <f t="shared" si="59"/>
        <v>234394.37538396832</v>
      </c>
      <c r="D502" s="111">
        <f t="shared" si="60"/>
        <v>33039.191832582233</v>
      </c>
      <c r="E502" s="111">
        <f t="shared" si="65"/>
        <v>201355.18355138609</v>
      </c>
      <c r="F502" s="111">
        <f t="shared" si="66"/>
        <v>1956733.2907144185</v>
      </c>
      <c r="J502" s="121">
        <v>59962</v>
      </c>
      <c r="K502" s="103">
        <f t="shared" si="61"/>
        <v>255091.40610574093</v>
      </c>
      <c r="L502" s="103">
        <f t="shared" si="62"/>
        <v>38864.37692189472</v>
      </c>
      <c r="M502" s="103">
        <f t="shared" si="63"/>
        <v>216227.0291838462</v>
      </c>
      <c r="N502" s="103">
        <f t="shared" si="64"/>
        <v>2115635.5861298451</v>
      </c>
    </row>
    <row r="503" spans="1:14" hidden="1" x14ac:dyDescent="0.25">
      <c r="A503">
        <v>472</v>
      </c>
      <c r="B503" s="112">
        <v>59993</v>
      </c>
      <c r="C503" s="111">
        <f t="shared" si="59"/>
        <v>234394.37538396832</v>
      </c>
      <c r="D503" s="111">
        <f t="shared" si="60"/>
        <v>29956.550590034331</v>
      </c>
      <c r="E503" s="111">
        <f t="shared" si="65"/>
        <v>204437.82479393398</v>
      </c>
      <c r="F503" s="111">
        <f t="shared" si="66"/>
        <v>1752295.4659204846</v>
      </c>
      <c r="J503" s="121">
        <v>59993</v>
      </c>
      <c r="K503" s="103">
        <f t="shared" si="61"/>
        <v>255091.40610574093</v>
      </c>
      <c r="L503" s="103">
        <f t="shared" si="62"/>
        <v>35260.593102163963</v>
      </c>
      <c r="M503" s="103">
        <f t="shared" si="63"/>
        <v>219830.81300357697</v>
      </c>
      <c r="N503" s="103">
        <f t="shared" si="64"/>
        <v>1895804.7731262681</v>
      </c>
    </row>
    <row r="504" spans="1:14" hidden="1" x14ac:dyDescent="0.25">
      <c r="A504">
        <v>473</v>
      </c>
      <c r="B504" s="112">
        <v>60023</v>
      </c>
      <c r="C504" s="111">
        <f t="shared" si="59"/>
        <v>234394.37538396832</v>
      </c>
      <c r="D504" s="111">
        <f t="shared" si="60"/>
        <v>26826.715742322383</v>
      </c>
      <c r="E504" s="111">
        <f t="shared" si="65"/>
        <v>207567.65964164594</v>
      </c>
      <c r="F504" s="111">
        <f t="shared" si="66"/>
        <v>1544727.8062788388</v>
      </c>
      <c r="J504" s="121">
        <v>60023</v>
      </c>
      <c r="K504" s="103">
        <f t="shared" si="61"/>
        <v>255091.40610574093</v>
      </c>
      <c r="L504" s="103">
        <f t="shared" si="62"/>
        <v>31596.746218771023</v>
      </c>
      <c r="M504" s="103">
        <f t="shared" si="63"/>
        <v>223494.65988696989</v>
      </c>
      <c r="N504" s="103">
        <f t="shared" si="64"/>
        <v>1672310.1132392981</v>
      </c>
    </row>
    <row r="505" spans="1:14" x14ac:dyDescent="0.25">
      <c r="A505">
        <v>474</v>
      </c>
      <c r="B505" s="112">
        <v>60054</v>
      </c>
      <c r="C505" s="111">
        <f t="shared" si="59"/>
        <v>234394.37538396832</v>
      </c>
      <c r="D505" s="111">
        <f t="shared" si="60"/>
        <v>23648.964780340364</v>
      </c>
      <c r="E505" s="111">
        <f t="shared" si="65"/>
        <v>210745.41060362797</v>
      </c>
      <c r="F505" s="111">
        <f t="shared" si="66"/>
        <v>1333982.3956752107</v>
      </c>
      <c r="J505" s="121">
        <v>60054</v>
      </c>
      <c r="K505" s="103">
        <f t="shared" si="61"/>
        <v>255091.40610574093</v>
      </c>
      <c r="L505" s="103">
        <f t="shared" si="62"/>
        <v>27871.83522065487</v>
      </c>
      <c r="M505" s="103">
        <f t="shared" si="63"/>
        <v>227219.57088508605</v>
      </c>
      <c r="N505" s="103">
        <f t="shared" si="64"/>
        <v>1445090.5423542121</v>
      </c>
    </row>
    <row r="506" spans="1:14" x14ac:dyDescent="0.25">
      <c r="A506">
        <v>475</v>
      </c>
      <c r="B506" s="112">
        <v>60084</v>
      </c>
      <c r="C506" s="111">
        <f t="shared" si="59"/>
        <v>234394.37538396832</v>
      </c>
      <c r="D506" s="111">
        <f t="shared" si="60"/>
        <v>20422.564133750384</v>
      </c>
      <c r="E506" s="111">
        <f t="shared" si="65"/>
        <v>213971.81125021793</v>
      </c>
      <c r="F506" s="111">
        <f t="shared" si="66"/>
        <v>1120010.5844249928</v>
      </c>
      <c r="J506" s="121">
        <v>60084</v>
      </c>
      <c r="K506" s="103">
        <f t="shared" si="61"/>
        <v>255091.40610574093</v>
      </c>
      <c r="L506" s="103">
        <f t="shared" si="62"/>
        <v>24084.842372570118</v>
      </c>
      <c r="M506" s="103">
        <f t="shared" si="63"/>
        <v>231006.5637331708</v>
      </c>
      <c r="N506" s="103">
        <f t="shared" si="64"/>
        <v>1214083.9786210414</v>
      </c>
    </row>
    <row r="507" spans="1:14" x14ac:dyDescent="0.25">
      <c r="A507">
        <v>476</v>
      </c>
      <c r="B507" s="112">
        <v>60115</v>
      </c>
      <c r="C507" s="111">
        <f t="shared" si="59"/>
        <v>234394.37538396832</v>
      </c>
      <c r="D507" s="111">
        <f t="shared" si="60"/>
        <v>17146.769001641118</v>
      </c>
      <c r="E507" s="111">
        <f t="shared" si="65"/>
        <v>217247.60638232721</v>
      </c>
      <c r="F507" s="111">
        <f t="shared" si="66"/>
        <v>902762.97804266564</v>
      </c>
      <c r="J507" s="121">
        <v>60115</v>
      </c>
      <c r="K507" s="103">
        <f t="shared" si="61"/>
        <v>255091.40610574093</v>
      </c>
      <c r="L507" s="103">
        <f t="shared" si="62"/>
        <v>20234.732977017284</v>
      </c>
      <c r="M507" s="103">
        <f t="shared" si="63"/>
        <v>234856.67312872363</v>
      </c>
      <c r="N507" s="103">
        <f t="shared" si="64"/>
        <v>979227.30549231777</v>
      </c>
    </row>
    <row r="508" spans="1:14" x14ac:dyDescent="0.25">
      <c r="A508">
        <v>477</v>
      </c>
      <c r="B508" s="112">
        <v>60146</v>
      </c>
      <c r="C508" s="111">
        <f t="shared" si="59"/>
        <v>234394.37538396832</v>
      </c>
      <c r="D508" s="111">
        <f t="shared" si="60"/>
        <v>13820.823180593668</v>
      </c>
      <c r="E508" s="111">
        <f t="shared" si="65"/>
        <v>220573.55220337465</v>
      </c>
      <c r="F508" s="111">
        <f t="shared" si="66"/>
        <v>682189.42583929095</v>
      </c>
      <c r="J508" s="121">
        <v>60146</v>
      </c>
      <c r="K508" s="103">
        <f t="shared" si="61"/>
        <v>255091.40610574093</v>
      </c>
      <c r="L508" s="103">
        <f t="shared" si="62"/>
        <v>16320.455091538572</v>
      </c>
      <c r="M508" s="103">
        <f t="shared" si="63"/>
        <v>238770.95101420235</v>
      </c>
      <c r="N508" s="103">
        <f t="shared" si="64"/>
        <v>740456.35447811545</v>
      </c>
    </row>
    <row r="509" spans="1:14" x14ac:dyDescent="0.25">
      <c r="A509">
        <v>478</v>
      </c>
      <c r="B509" s="112">
        <v>60176</v>
      </c>
      <c r="C509" s="111">
        <f t="shared" si="59"/>
        <v>234394.37538396832</v>
      </c>
      <c r="D509" s="111">
        <f t="shared" si="60"/>
        <v>10443.958890115186</v>
      </c>
      <c r="E509" s="111">
        <f t="shared" si="65"/>
        <v>223950.41649385315</v>
      </c>
      <c r="F509" s="111">
        <f t="shared" si="66"/>
        <v>458239.00934543781</v>
      </c>
      <c r="J509" s="121">
        <v>60176</v>
      </c>
      <c r="K509" s="103">
        <f t="shared" si="61"/>
        <v>255091.40610574093</v>
      </c>
      <c r="L509" s="103">
        <f t="shared" si="62"/>
        <v>12340.93924130188</v>
      </c>
      <c r="M509" s="103">
        <f t="shared" si="63"/>
        <v>242750.46686443905</v>
      </c>
      <c r="N509" s="103">
        <f t="shared" si="64"/>
        <v>497705.88761367637</v>
      </c>
    </row>
    <row r="510" spans="1:14" x14ac:dyDescent="0.25">
      <c r="A510">
        <v>479</v>
      </c>
      <c r="B510" s="112">
        <v>60207</v>
      </c>
      <c r="C510" s="111">
        <f t="shared" si="59"/>
        <v>234394.37538396832</v>
      </c>
      <c r="D510" s="111">
        <f t="shared" si="60"/>
        <v>7015.3965954000259</v>
      </c>
      <c r="E510" s="111">
        <f t="shared" si="65"/>
        <v>227378.97878856829</v>
      </c>
      <c r="F510" s="111">
        <f t="shared" si="66"/>
        <v>230860.03055686952</v>
      </c>
      <c r="J510" s="121">
        <v>60207</v>
      </c>
      <c r="K510" s="103">
        <f t="shared" si="61"/>
        <v>255091.40610574093</v>
      </c>
      <c r="L510" s="103">
        <f t="shared" si="62"/>
        <v>8295.0981268945761</v>
      </c>
      <c r="M510" s="103">
        <f t="shared" si="63"/>
        <v>246796.30797884637</v>
      </c>
      <c r="N510" s="103">
        <f t="shared" si="64"/>
        <v>250909.57963483001</v>
      </c>
    </row>
    <row r="511" spans="1:14" x14ac:dyDescent="0.25">
      <c r="A511">
        <v>480</v>
      </c>
      <c r="B511" s="112">
        <v>60237</v>
      </c>
      <c r="C511" s="111">
        <f t="shared" si="59"/>
        <v>234394.37538396832</v>
      </c>
      <c r="D511" s="111">
        <f t="shared" si="60"/>
        <v>3534.3448273774356</v>
      </c>
      <c r="E511" s="111">
        <f t="shared" ref="E511" si="67">C511-D511</f>
        <v>230860.03055659088</v>
      </c>
      <c r="F511" s="111">
        <f t="shared" ref="F511" si="68">F510-E511</f>
        <v>2.7864007279276848E-7</v>
      </c>
      <c r="G511" s="6" t="s">
        <v>47</v>
      </c>
      <c r="H511" s="6"/>
      <c r="J511" s="121">
        <v>60237</v>
      </c>
      <c r="K511" s="103">
        <f t="shared" si="61"/>
        <v>255091.40610574093</v>
      </c>
      <c r="L511" s="103">
        <f t="shared" si="62"/>
        <v>4181.8263272471522</v>
      </c>
      <c r="M511" s="103">
        <f t="shared" si="63"/>
        <v>250909.57977849379</v>
      </c>
      <c r="N511" s="103">
        <f t="shared" si="64"/>
        <v>-1.4366378309205174E-4</v>
      </c>
    </row>
    <row r="512" spans="1:14" x14ac:dyDescent="0.25">
      <c r="C512" s="100">
        <f>SUM(C31:C511)</f>
        <v>97209300.184305072</v>
      </c>
      <c r="D512" s="100">
        <f>SUM(D31:D511)</f>
        <v>97209300.184305072</v>
      </c>
      <c r="E512" s="100">
        <f>SUM(E31:E511)</f>
        <v>15299999.999999719</v>
      </c>
      <c r="F512" s="100"/>
      <c r="K512" s="100">
        <f>SUM(K31:K511)</f>
        <v>107143874.93075602</v>
      </c>
      <c r="L512" s="100">
        <f>SUM(L31:L511)</f>
        <v>107143874.93061188</v>
      </c>
      <c r="M512" s="100">
        <f>SUM(M31:M511)</f>
        <v>15300000.000143653</v>
      </c>
    </row>
    <row r="514" spans="6:11" x14ac:dyDescent="0.25">
      <c r="F514" s="101"/>
      <c r="G514" s="101"/>
      <c r="H514" s="101"/>
      <c r="I514" s="101"/>
      <c r="J514" s="102" t="s">
        <v>109</v>
      </c>
      <c r="K514" s="103">
        <f>K512-C512</f>
        <v>9934574.7464509457</v>
      </c>
    </row>
    <row r="516" spans="6:11" x14ac:dyDescent="0.25">
      <c r="F516" t="s">
        <v>110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92D050"/>
    <pageSetUpPr fitToPage="1"/>
  </sheetPr>
  <dimension ref="A1:V755"/>
  <sheetViews>
    <sheetView zoomScaleNormal="100" workbookViewId="0"/>
  </sheetViews>
  <sheetFormatPr defaultRowHeight="15" x14ac:dyDescent="0.25"/>
  <cols>
    <col min="1" max="1" width="6" style="4" bestFit="1" customWidth="1"/>
    <col min="2" max="2" width="12.85546875" style="4" customWidth="1"/>
    <col min="3" max="3" width="10.140625" style="4" bestFit="1" customWidth="1"/>
    <col min="4" max="4" width="14" style="4" bestFit="1" customWidth="1"/>
    <col min="5" max="5" width="12.140625" style="4" bestFit="1" customWidth="1"/>
    <col min="6" max="6" width="14" style="4" bestFit="1" customWidth="1"/>
    <col min="7" max="7" width="12.140625" style="4" bestFit="1" customWidth="1"/>
    <col min="8" max="8" width="14" style="4" bestFit="1" customWidth="1"/>
    <col min="9" max="9" width="12.140625" style="4" bestFit="1" customWidth="1"/>
    <col min="10" max="11" width="14" style="4" bestFit="1" customWidth="1"/>
    <col min="12" max="12" width="12.140625" style="4" bestFit="1" customWidth="1"/>
    <col min="13" max="17" width="13.28515625" style="4" bestFit="1" customWidth="1"/>
    <col min="18" max="18" width="9.140625" style="4" customWidth="1"/>
    <col min="19" max="19" width="9.140625" style="4"/>
    <col min="20" max="20" width="17.140625" style="4" customWidth="1"/>
    <col min="21" max="16384" width="9.140625" style="4"/>
  </cols>
  <sheetData>
    <row r="1" spans="2:22" x14ac:dyDescent="0.25">
      <c r="B1" s="44" t="s">
        <v>63</v>
      </c>
      <c r="R1" s="89"/>
      <c r="S1" s="86"/>
      <c r="T1" s="86"/>
      <c r="U1" s="86"/>
      <c r="V1" s="89"/>
    </row>
    <row r="2" spans="2:22" x14ac:dyDescent="0.25">
      <c r="B2" s="84" t="s">
        <v>95</v>
      </c>
      <c r="C2" s="84"/>
      <c r="D2" s="84"/>
      <c r="E2" s="84"/>
      <c r="F2" s="84"/>
      <c r="G2" s="84"/>
      <c r="H2" s="84"/>
      <c r="I2" s="84"/>
      <c r="J2" s="84"/>
      <c r="K2" s="84"/>
      <c r="R2" s="89"/>
      <c r="S2" s="86"/>
      <c r="T2" s="86" t="s">
        <v>89</v>
      </c>
      <c r="U2" s="86"/>
      <c r="V2" s="89"/>
    </row>
    <row r="3" spans="2:22" x14ac:dyDescent="0.25">
      <c r="R3" s="89"/>
      <c r="S3" s="86"/>
      <c r="T3" s="86"/>
      <c r="U3" s="86"/>
      <c r="V3" s="89"/>
    </row>
    <row r="4" spans="2:22" x14ac:dyDescent="0.25">
      <c r="B4" s="64"/>
      <c r="C4" s="96" t="s">
        <v>91</v>
      </c>
      <c r="D4" s="97"/>
      <c r="E4" s="96" t="s">
        <v>92</v>
      </c>
      <c r="F4" s="97"/>
      <c r="G4" s="96" t="s">
        <v>93</v>
      </c>
      <c r="H4" s="97"/>
      <c r="I4" s="96" t="s">
        <v>94</v>
      </c>
      <c r="J4" s="97"/>
      <c r="K4" s="98" t="s">
        <v>81</v>
      </c>
      <c r="R4" s="89"/>
      <c r="S4" s="86"/>
      <c r="T4" s="86" t="s">
        <v>97</v>
      </c>
      <c r="U4" s="86"/>
      <c r="V4" s="89"/>
    </row>
    <row r="5" spans="2:22" x14ac:dyDescent="0.25">
      <c r="B5" s="62"/>
      <c r="C5" s="63" t="s">
        <v>78</v>
      </c>
      <c r="D5" s="46" t="s">
        <v>79</v>
      </c>
      <c r="E5" s="46" t="s">
        <v>78</v>
      </c>
      <c r="F5" s="46" t="s">
        <v>79</v>
      </c>
      <c r="G5" s="46" t="s">
        <v>78</v>
      </c>
      <c r="H5" s="46" t="s">
        <v>79</v>
      </c>
      <c r="I5" s="46" t="s">
        <v>78</v>
      </c>
      <c r="J5" s="45" t="s">
        <v>79</v>
      </c>
      <c r="K5" s="99"/>
      <c r="R5" s="89"/>
      <c r="S5" s="86"/>
      <c r="T5" s="86"/>
      <c r="U5" s="86"/>
      <c r="V5" s="89"/>
    </row>
    <row r="6" spans="2:22" x14ac:dyDescent="0.25">
      <c r="B6" s="62" t="s">
        <v>64</v>
      </c>
      <c r="C6" s="47">
        <v>45721</v>
      </c>
      <c r="D6" s="46">
        <v>5</v>
      </c>
      <c r="E6" s="47">
        <v>45777</v>
      </c>
      <c r="F6" s="46">
        <v>14</v>
      </c>
      <c r="G6" s="47">
        <v>45860</v>
      </c>
      <c r="H6" s="46">
        <v>5</v>
      </c>
      <c r="I6" s="47">
        <v>45984</v>
      </c>
      <c r="J6" s="46">
        <v>4</v>
      </c>
      <c r="K6" s="61">
        <v>28</v>
      </c>
      <c r="M6" s="4" t="s">
        <v>83</v>
      </c>
      <c r="R6" s="88"/>
      <c r="S6" s="88"/>
      <c r="T6" s="87" t="s">
        <v>100</v>
      </c>
      <c r="U6" s="88"/>
      <c r="V6" s="88"/>
    </row>
    <row r="7" spans="2:22" x14ac:dyDescent="0.25">
      <c r="B7" s="46" t="s">
        <v>65</v>
      </c>
      <c r="C7" s="47">
        <v>45714</v>
      </c>
      <c r="D7" s="46">
        <v>5</v>
      </c>
      <c r="E7" s="47">
        <v>45823</v>
      </c>
      <c r="F7" s="46">
        <v>4</v>
      </c>
      <c r="G7" s="47">
        <v>45861</v>
      </c>
      <c r="H7" s="46">
        <v>5</v>
      </c>
      <c r="I7" s="47">
        <v>45933</v>
      </c>
      <c r="J7" s="46">
        <v>14</v>
      </c>
      <c r="K7" s="60">
        <v>28</v>
      </c>
      <c r="M7" s="4" t="s">
        <v>82</v>
      </c>
      <c r="R7" s="88"/>
      <c r="S7" s="88"/>
      <c r="T7" s="88"/>
      <c r="U7" s="88"/>
      <c r="V7" s="88"/>
    </row>
    <row r="8" spans="2:22" x14ac:dyDescent="0.25">
      <c r="B8" s="46" t="s">
        <v>66</v>
      </c>
      <c r="C8" s="47">
        <v>45716</v>
      </c>
      <c r="D8" s="46">
        <v>5</v>
      </c>
      <c r="E8" s="47">
        <v>45816</v>
      </c>
      <c r="F8" s="46">
        <v>4</v>
      </c>
      <c r="G8" s="47">
        <v>45904</v>
      </c>
      <c r="H8" s="46">
        <v>14</v>
      </c>
      <c r="I8" s="47">
        <v>45976</v>
      </c>
      <c r="J8" s="46">
        <v>5</v>
      </c>
      <c r="K8" s="60">
        <v>28</v>
      </c>
      <c r="M8" s="4" t="s">
        <v>84</v>
      </c>
      <c r="R8" s="88"/>
      <c r="S8" s="88"/>
      <c r="T8" s="86" t="s">
        <v>98</v>
      </c>
      <c r="U8" s="88"/>
      <c r="V8" s="88"/>
    </row>
    <row r="9" spans="2:22" x14ac:dyDescent="0.25">
      <c r="B9" s="46" t="s">
        <v>67</v>
      </c>
      <c r="C9" s="47">
        <v>45703</v>
      </c>
      <c r="D9" s="46">
        <v>5</v>
      </c>
      <c r="E9" s="47">
        <v>45753</v>
      </c>
      <c r="F9" s="46">
        <v>5</v>
      </c>
      <c r="G9" s="47">
        <v>45904</v>
      </c>
      <c r="H9" s="46">
        <v>14</v>
      </c>
      <c r="I9" s="47">
        <v>45939</v>
      </c>
      <c r="J9" s="46">
        <v>4</v>
      </c>
      <c r="K9" s="60">
        <v>28</v>
      </c>
      <c r="M9" s="4" t="s">
        <v>85</v>
      </c>
      <c r="R9" s="88"/>
      <c r="S9" s="88"/>
      <c r="T9" s="88"/>
      <c r="U9" s="88"/>
      <c r="V9" s="88"/>
    </row>
    <row r="10" spans="2:22" x14ac:dyDescent="0.25">
      <c r="B10" s="46" t="s">
        <v>68</v>
      </c>
      <c r="C10" s="47">
        <v>45703</v>
      </c>
      <c r="D10" s="46">
        <v>14</v>
      </c>
      <c r="E10" s="47">
        <v>45822</v>
      </c>
      <c r="F10" s="46">
        <v>5</v>
      </c>
      <c r="G10" s="47">
        <v>45885</v>
      </c>
      <c r="H10" s="46">
        <v>5</v>
      </c>
      <c r="I10" s="47">
        <v>45940</v>
      </c>
      <c r="J10" s="46">
        <v>4</v>
      </c>
      <c r="K10" s="60">
        <v>28</v>
      </c>
      <c r="M10" s="4" t="s">
        <v>86</v>
      </c>
      <c r="R10" s="88"/>
      <c r="S10" s="88"/>
      <c r="T10" s="86" t="s">
        <v>99</v>
      </c>
      <c r="U10" s="88"/>
      <c r="V10" s="88"/>
    </row>
    <row r="11" spans="2:22" x14ac:dyDescent="0.25">
      <c r="B11" s="46" t="s">
        <v>69</v>
      </c>
      <c r="C11" s="47">
        <v>45724</v>
      </c>
      <c r="D11" s="46">
        <v>5</v>
      </c>
      <c r="E11" s="47">
        <v>45777</v>
      </c>
      <c r="F11" s="46">
        <v>5</v>
      </c>
      <c r="G11" s="47">
        <v>45916</v>
      </c>
      <c r="H11" s="46">
        <v>14</v>
      </c>
      <c r="I11" s="47">
        <v>45994</v>
      </c>
      <c r="J11" s="46">
        <v>4</v>
      </c>
      <c r="K11" s="60">
        <v>28</v>
      </c>
      <c r="M11" s="4" t="s">
        <v>87</v>
      </c>
      <c r="R11" s="88"/>
      <c r="S11" s="88"/>
      <c r="T11" s="88"/>
      <c r="U11" s="88"/>
      <c r="V11" s="88"/>
    </row>
    <row r="12" spans="2:22" x14ac:dyDescent="0.25">
      <c r="B12" s="46" t="s">
        <v>70</v>
      </c>
      <c r="C12" s="47">
        <v>45690</v>
      </c>
      <c r="D12" s="46">
        <v>5</v>
      </c>
      <c r="E12" s="47">
        <v>45789</v>
      </c>
      <c r="F12" s="46">
        <v>4</v>
      </c>
      <c r="G12" s="47">
        <v>45911</v>
      </c>
      <c r="H12" s="46">
        <v>5</v>
      </c>
      <c r="I12" s="47">
        <v>45954</v>
      </c>
      <c r="J12" s="46">
        <v>14</v>
      </c>
      <c r="K12" s="60">
        <v>28</v>
      </c>
    </row>
    <row r="13" spans="2:22" x14ac:dyDescent="0.25">
      <c r="B13" s="46" t="s">
        <v>71</v>
      </c>
      <c r="C13" s="47">
        <v>45724</v>
      </c>
      <c r="D13" s="46">
        <v>14</v>
      </c>
      <c r="E13" s="47">
        <v>45808</v>
      </c>
      <c r="F13" s="46">
        <v>5</v>
      </c>
      <c r="G13" s="47">
        <v>45857</v>
      </c>
      <c r="H13" s="46">
        <v>5</v>
      </c>
      <c r="I13" s="47">
        <v>45935</v>
      </c>
      <c r="J13" s="46">
        <v>4</v>
      </c>
      <c r="K13" s="60">
        <v>28</v>
      </c>
      <c r="M13" s="4" t="s">
        <v>88</v>
      </c>
    </row>
    <row r="14" spans="2:22" x14ac:dyDescent="0.25">
      <c r="B14" s="46" t="s">
        <v>72</v>
      </c>
      <c r="C14" s="47">
        <v>45726</v>
      </c>
      <c r="D14" s="46">
        <v>14</v>
      </c>
      <c r="E14" s="47">
        <v>45753</v>
      </c>
      <c r="F14" s="46">
        <v>5</v>
      </c>
      <c r="G14" s="47">
        <v>45894</v>
      </c>
      <c r="H14" s="46">
        <v>5</v>
      </c>
      <c r="I14" s="47">
        <v>45955</v>
      </c>
      <c r="J14" s="46">
        <v>4</v>
      </c>
      <c r="K14" s="60">
        <v>28</v>
      </c>
    </row>
    <row r="15" spans="2:22" x14ac:dyDescent="0.25">
      <c r="B15" s="46" t="s">
        <v>73</v>
      </c>
      <c r="C15" s="47">
        <v>45721</v>
      </c>
      <c r="D15" s="46">
        <v>5</v>
      </c>
      <c r="E15" s="47">
        <v>45794</v>
      </c>
      <c r="F15" s="46">
        <v>14</v>
      </c>
      <c r="G15" s="47">
        <v>45916</v>
      </c>
      <c r="H15" s="46">
        <v>4</v>
      </c>
      <c r="I15" s="47">
        <v>45961</v>
      </c>
      <c r="J15" s="46">
        <v>5</v>
      </c>
      <c r="K15" s="60">
        <v>28</v>
      </c>
    </row>
    <row r="16" spans="2:22" x14ac:dyDescent="0.25">
      <c r="B16" s="46" t="s">
        <v>74</v>
      </c>
      <c r="C16" s="47">
        <v>45692</v>
      </c>
      <c r="D16" s="46">
        <v>5</v>
      </c>
      <c r="E16" s="47">
        <v>45785</v>
      </c>
      <c r="F16" s="46">
        <v>14</v>
      </c>
      <c r="G16" s="47">
        <v>45859</v>
      </c>
      <c r="H16" s="46">
        <v>5</v>
      </c>
      <c r="I16" s="47">
        <v>45955</v>
      </c>
      <c r="J16" s="46">
        <v>4</v>
      </c>
      <c r="K16" s="60">
        <v>28</v>
      </c>
    </row>
    <row r="17" spans="1:18" x14ac:dyDescent="0.25">
      <c r="B17" s="46" t="s">
        <v>75</v>
      </c>
      <c r="C17" s="47">
        <v>45708</v>
      </c>
      <c r="D17" s="46">
        <v>14</v>
      </c>
      <c r="E17" s="47">
        <v>45771</v>
      </c>
      <c r="F17" s="46">
        <v>5</v>
      </c>
      <c r="G17" s="47">
        <v>45881</v>
      </c>
      <c r="H17" s="46">
        <v>4</v>
      </c>
      <c r="I17" s="47">
        <v>46005</v>
      </c>
      <c r="J17" s="46">
        <v>5</v>
      </c>
      <c r="K17" s="60">
        <v>28</v>
      </c>
    </row>
    <row r="18" spans="1:18" x14ac:dyDescent="0.25">
      <c r="B18" s="46" t="s">
        <v>76</v>
      </c>
      <c r="C18" s="47">
        <v>45728</v>
      </c>
      <c r="D18" s="46">
        <v>5</v>
      </c>
      <c r="E18" s="47">
        <v>45796</v>
      </c>
      <c r="F18" s="46">
        <v>14</v>
      </c>
      <c r="G18" s="47">
        <v>45848</v>
      </c>
      <c r="H18" s="46">
        <v>4</v>
      </c>
      <c r="I18" s="47">
        <v>46008</v>
      </c>
      <c r="J18" s="46">
        <v>5</v>
      </c>
      <c r="K18" s="60">
        <v>28</v>
      </c>
    </row>
    <row r="19" spans="1:18" x14ac:dyDescent="0.25">
      <c r="B19" s="46" t="s">
        <v>77</v>
      </c>
      <c r="C19" s="47">
        <v>45725</v>
      </c>
      <c r="D19" s="46">
        <v>4</v>
      </c>
      <c r="E19" s="47">
        <v>45798</v>
      </c>
      <c r="F19" s="46">
        <v>5</v>
      </c>
      <c r="G19" s="47">
        <v>45917</v>
      </c>
      <c r="H19" s="46">
        <v>5</v>
      </c>
      <c r="I19" s="47">
        <v>45963</v>
      </c>
      <c r="J19" s="46">
        <v>14</v>
      </c>
      <c r="K19" s="60">
        <v>28</v>
      </c>
    </row>
    <row r="21" spans="1:18" x14ac:dyDescent="0.25">
      <c r="B21" s="44" t="s">
        <v>80</v>
      </c>
    </row>
    <row r="22" spans="1:18" x14ac:dyDescent="0.25">
      <c r="B22" s="84" t="s">
        <v>96</v>
      </c>
      <c r="C22" s="84"/>
      <c r="D22" s="85"/>
      <c r="E22" s="84"/>
      <c r="F22" s="84"/>
      <c r="G22" s="84"/>
      <c r="H22" s="84"/>
    </row>
    <row r="23" spans="1:18" ht="15.75" thickBot="1" x14ac:dyDescent="0.3">
      <c r="D23" s="48" t="s">
        <v>64</v>
      </c>
      <c r="E23" s="48" t="s">
        <v>65</v>
      </c>
      <c r="F23" s="48" t="s">
        <v>66</v>
      </c>
      <c r="G23" s="48" t="s">
        <v>67</v>
      </c>
      <c r="H23" s="48" t="s">
        <v>68</v>
      </c>
      <c r="I23" s="48" t="s">
        <v>69</v>
      </c>
      <c r="J23" s="48" t="s">
        <v>70</v>
      </c>
      <c r="K23" s="48" t="s">
        <v>71</v>
      </c>
      <c r="L23" s="48" t="s">
        <v>72</v>
      </c>
      <c r="M23" s="48" t="s">
        <v>73</v>
      </c>
      <c r="N23" s="48" t="s">
        <v>74</v>
      </c>
      <c r="O23" s="48" t="s">
        <v>75</v>
      </c>
      <c r="P23" s="48" t="s">
        <v>76</v>
      </c>
      <c r="Q23" s="48" t="s">
        <v>77</v>
      </c>
    </row>
    <row r="24" spans="1:18" x14ac:dyDescent="0.25">
      <c r="A24" s="49"/>
      <c r="B24" s="69" t="s">
        <v>55</v>
      </c>
      <c r="C24" s="70">
        <v>45658</v>
      </c>
      <c r="D24" s="71">
        <v>0</v>
      </c>
      <c r="E24" s="71">
        <v>0</v>
      </c>
      <c r="F24" s="71">
        <v>0</v>
      </c>
      <c r="G24" s="71">
        <v>0</v>
      </c>
      <c r="H24" s="71">
        <v>0</v>
      </c>
      <c r="I24" s="71">
        <v>0</v>
      </c>
      <c r="J24" s="71">
        <v>0</v>
      </c>
      <c r="K24" s="71">
        <v>0</v>
      </c>
      <c r="L24" s="71">
        <v>0</v>
      </c>
      <c r="M24" s="71">
        <v>0</v>
      </c>
      <c r="N24" s="71">
        <v>0</v>
      </c>
      <c r="O24" s="71">
        <v>0</v>
      </c>
      <c r="P24" s="71">
        <v>0</v>
      </c>
      <c r="Q24" s="72">
        <v>0</v>
      </c>
      <c r="R24" s="39"/>
    </row>
    <row r="25" spans="1:18" x14ac:dyDescent="0.25">
      <c r="A25" s="49"/>
      <c r="B25" s="65" t="s">
        <v>56</v>
      </c>
      <c r="C25" s="66">
        <v>45659</v>
      </c>
      <c r="D25" s="67">
        <v>0</v>
      </c>
      <c r="E25" s="67">
        <v>0</v>
      </c>
      <c r="F25" s="67">
        <v>0</v>
      </c>
      <c r="G25" s="67">
        <v>0</v>
      </c>
      <c r="H25" s="67">
        <v>0</v>
      </c>
      <c r="I25" s="67">
        <v>0</v>
      </c>
      <c r="J25" s="67">
        <v>0</v>
      </c>
      <c r="K25" s="67">
        <v>0</v>
      </c>
      <c r="L25" s="67">
        <v>0</v>
      </c>
      <c r="M25" s="67">
        <v>0</v>
      </c>
      <c r="N25" s="67">
        <v>0</v>
      </c>
      <c r="O25" s="67">
        <v>0</v>
      </c>
      <c r="P25" s="67">
        <v>0</v>
      </c>
      <c r="Q25" s="68">
        <v>0</v>
      </c>
      <c r="R25" s="40"/>
    </row>
    <row r="26" spans="1:18" x14ac:dyDescent="0.25">
      <c r="A26" s="49"/>
      <c r="B26" s="65" t="s">
        <v>57</v>
      </c>
      <c r="C26" s="66">
        <v>45660</v>
      </c>
      <c r="D26" s="67">
        <v>0</v>
      </c>
      <c r="E26" s="67">
        <v>0</v>
      </c>
      <c r="F26" s="67">
        <v>0</v>
      </c>
      <c r="G26" s="67">
        <v>0</v>
      </c>
      <c r="H26" s="67">
        <v>0</v>
      </c>
      <c r="I26" s="67">
        <v>0</v>
      </c>
      <c r="J26" s="67">
        <v>0</v>
      </c>
      <c r="K26" s="67">
        <v>0</v>
      </c>
      <c r="L26" s="67">
        <v>0</v>
      </c>
      <c r="M26" s="67">
        <v>0</v>
      </c>
      <c r="N26" s="67">
        <v>0</v>
      </c>
      <c r="O26" s="67">
        <v>0</v>
      </c>
      <c r="P26" s="67">
        <v>0</v>
      </c>
      <c r="Q26" s="68">
        <v>0</v>
      </c>
      <c r="R26" s="40"/>
    </row>
    <row r="27" spans="1:18" x14ac:dyDescent="0.25">
      <c r="A27" s="49"/>
      <c r="B27" s="65" t="s">
        <v>58</v>
      </c>
      <c r="C27" s="66">
        <v>45661</v>
      </c>
      <c r="D27" s="67">
        <v>0</v>
      </c>
      <c r="E27" s="67">
        <v>0</v>
      </c>
      <c r="F27" s="67">
        <v>0</v>
      </c>
      <c r="G27" s="67">
        <v>0</v>
      </c>
      <c r="H27" s="67">
        <v>0</v>
      </c>
      <c r="I27" s="67">
        <v>0</v>
      </c>
      <c r="J27" s="67">
        <v>0</v>
      </c>
      <c r="K27" s="67">
        <v>0</v>
      </c>
      <c r="L27" s="67">
        <v>0</v>
      </c>
      <c r="M27" s="67">
        <v>0</v>
      </c>
      <c r="N27" s="67">
        <v>0</v>
      </c>
      <c r="O27" s="67">
        <v>0</v>
      </c>
      <c r="P27" s="67">
        <v>0</v>
      </c>
      <c r="Q27" s="68">
        <v>0</v>
      </c>
    </row>
    <row r="28" spans="1:18" x14ac:dyDescent="0.25">
      <c r="A28" s="49"/>
      <c r="B28" s="65" t="s">
        <v>59</v>
      </c>
      <c r="C28" s="66">
        <v>45662</v>
      </c>
      <c r="D28" s="67">
        <v>0</v>
      </c>
      <c r="E28" s="67">
        <v>0</v>
      </c>
      <c r="F28" s="67">
        <v>0</v>
      </c>
      <c r="G28" s="67">
        <v>0</v>
      </c>
      <c r="H28" s="67">
        <v>0</v>
      </c>
      <c r="I28" s="67">
        <v>0</v>
      </c>
      <c r="J28" s="67">
        <v>0</v>
      </c>
      <c r="K28" s="67">
        <v>0</v>
      </c>
      <c r="L28" s="67">
        <v>0</v>
      </c>
      <c r="M28" s="67">
        <v>0</v>
      </c>
      <c r="N28" s="67">
        <v>0</v>
      </c>
      <c r="O28" s="67">
        <v>0</v>
      </c>
      <c r="P28" s="67">
        <v>0</v>
      </c>
      <c r="Q28" s="68">
        <v>0</v>
      </c>
    </row>
    <row r="29" spans="1:18" x14ac:dyDescent="0.25">
      <c r="A29" s="49"/>
      <c r="B29" s="65" t="s">
        <v>60</v>
      </c>
      <c r="C29" s="66">
        <v>45663</v>
      </c>
      <c r="D29" s="67">
        <v>0</v>
      </c>
      <c r="E29" s="67">
        <v>0</v>
      </c>
      <c r="F29" s="67">
        <v>0</v>
      </c>
      <c r="G29" s="67">
        <v>0</v>
      </c>
      <c r="H29" s="67">
        <v>0</v>
      </c>
      <c r="I29" s="67">
        <v>0</v>
      </c>
      <c r="J29" s="67">
        <v>0</v>
      </c>
      <c r="K29" s="67">
        <v>0</v>
      </c>
      <c r="L29" s="67">
        <v>0</v>
      </c>
      <c r="M29" s="67">
        <v>0</v>
      </c>
      <c r="N29" s="67">
        <v>0</v>
      </c>
      <c r="O29" s="67">
        <v>0</v>
      </c>
      <c r="P29" s="67">
        <v>0</v>
      </c>
      <c r="Q29" s="68">
        <v>0</v>
      </c>
      <c r="R29" s="40"/>
    </row>
    <row r="30" spans="1:18" x14ac:dyDescent="0.25">
      <c r="A30" s="49"/>
      <c r="B30" s="65" t="s">
        <v>61</v>
      </c>
      <c r="C30" s="66">
        <v>45664</v>
      </c>
      <c r="D30" s="67">
        <v>0</v>
      </c>
      <c r="E30" s="67">
        <v>0</v>
      </c>
      <c r="F30" s="67">
        <v>0</v>
      </c>
      <c r="G30" s="67">
        <v>0</v>
      </c>
      <c r="H30" s="67">
        <v>0</v>
      </c>
      <c r="I30" s="67">
        <v>0</v>
      </c>
      <c r="J30" s="67">
        <v>0</v>
      </c>
      <c r="K30" s="67">
        <v>0</v>
      </c>
      <c r="L30" s="67">
        <v>0</v>
      </c>
      <c r="M30" s="67">
        <v>0</v>
      </c>
      <c r="N30" s="67">
        <v>0</v>
      </c>
      <c r="O30" s="67">
        <v>0</v>
      </c>
      <c r="P30" s="67">
        <v>0</v>
      </c>
      <c r="Q30" s="68">
        <v>0</v>
      </c>
      <c r="R30" s="40"/>
    </row>
    <row r="31" spans="1:18" x14ac:dyDescent="0.25">
      <c r="A31" s="49"/>
      <c r="B31" s="65" t="s">
        <v>55</v>
      </c>
      <c r="C31" s="66">
        <v>45665</v>
      </c>
      <c r="D31" s="67">
        <v>0</v>
      </c>
      <c r="E31" s="67">
        <v>0</v>
      </c>
      <c r="F31" s="67">
        <v>0</v>
      </c>
      <c r="G31" s="67">
        <v>0</v>
      </c>
      <c r="H31" s="67">
        <v>0</v>
      </c>
      <c r="I31" s="67">
        <v>0</v>
      </c>
      <c r="J31" s="67">
        <v>0</v>
      </c>
      <c r="K31" s="67">
        <v>0</v>
      </c>
      <c r="L31" s="67">
        <v>0</v>
      </c>
      <c r="M31" s="67">
        <v>0</v>
      </c>
      <c r="N31" s="67">
        <v>0</v>
      </c>
      <c r="O31" s="67">
        <v>0</v>
      </c>
      <c r="P31" s="67">
        <v>0</v>
      </c>
      <c r="Q31" s="68">
        <v>0</v>
      </c>
      <c r="R31" s="40"/>
    </row>
    <row r="32" spans="1:18" x14ac:dyDescent="0.25">
      <c r="A32" s="52"/>
      <c r="B32" s="53" t="s">
        <v>56</v>
      </c>
      <c r="C32" s="54">
        <v>45666</v>
      </c>
      <c r="D32" s="92">
        <v>8.25</v>
      </c>
      <c r="E32" s="92">
        <v>8.25</v>
      </c>
      <c r="F32" s="92">
        <v>8.25</v>
      </c>
      <c r="G32" s="92">
        <v>8.25</v>
      </c>
      <c r="H32" s="92">
        <v>8.25</v>
      </c>
      <c r="I32" s="92">
        <v>8.25</v>
      </c>
      <c r="J32" s="92">
        <v>8.25</v>
      </c>
      <c r="K32" s="92">
        <v>8.25</v>
      </c>
      <c r="L32" s="92">
        <v>8.25</v>
      </c>
      <c r="M32" s="92">
        <v>8.25</v>
      </c>
      <c r="N32" s="92">
        <v>8.25</v>
      </c>
      <c r="O32" s="92">
        <v>8.25</v>
      </c>
      <c r="P32" s="92">
        <v>8.25</v>
      </c>
      <c r="Q32" s="93">
        <v>8.25</v>
      </c>
    </row>
    <row r="33" spans="1:17" x14ac:dyDescent="0.25">
      <c r="A33" s="52"/>
      <c r="B33" s="53" t="s">
        <v>57</v>
      </c>
      <c r="C33" s="54">
        <v>45667</v>
      </c>
      <c r="D33" s="92">
        <v>7</v>
      </c>
      <c r="E33" s="92">
        <v>7</v>
      </c>
      <c r="F33" s="92">
        <v>7</v>
      </c>
      <c r="G33" s="92">
        <v>7</v>
      </c>
      <c r="H33" s="92">
        <v>7</v>
      </c>
      <c r="I33" s="92">
        <v>7</v>
      </c>
      <c r="J33" s="92">
        <v>7</v>
      </c>
      <c r="K33" s="92">
        <v>7</v>
      </c>
      <c r="L33" s="92">
        <v>7</v>
      </c>
      <c r="M33" s="92">
        <v>7</v>
      </c>
      <c r="N33" s="92">
        <v>7</v>
      </c>
      <c r="O33" s="92">
        <v>7</v>
      </c>
      <c r="P33" s="92">
        <v>7</v>
      </c>
      <c r="Q33" s="93">
        <v>7</v>
      </c>
    </row>
    <row r="34" spans="1:17" x14ac:dyDescent="0.25">
      <c r="A34" s="49"/>
      <c r="B34" s="65" t="s">
        <v>58</v>
      </c>
      <c r="C34" s="66">
        <v>45668</v>
      </c>
      <c r="D34" s="67">
        <v>0</v>
      </c>
      <c r="E34" s="67">
        <v>0</v>
      </c>
      <c r="F34" s="67">
        <v>0</v>
      </c>
      <c r="G34" s="67">
        <v>0</v>
      </c>
      <c r="H34" s="67">
        <v>0</v>
      </c>
      <c r="I34" s="67">
        <v>0</v>
      </c>
      <c r="J34" s="67">
        <v>0</v>
      </c>
      <c r="K34" s="67">
        <v>0</v>
      </c>
      <c r="L34" s="67">
        <v>0</v>
      </c>
      <c r="M34" s="67">
        <v>0</v>
      </c>
      <c r="N34" s="67">
        <v>0</v>
      </c>
      <c r="O34" s="67">
        <v>0</v>
      </c>
      <c r="P34" s="67">
        <v>0</v>
      </c>
      <c r="Q34" s="68">
        <v>0</v>
      </c>
    </row>
    <row r="35" spans="1:17" x14ac:dyDescent="0.25">
      <c r="A35" s="49"/>
      <c r="B35" s="65" t="s">
        <v>59</v>
      </c>
      <c r="C35" s="66">
        <v>45669</v>
      </c>
      <c r="D35" s="67">
        <v>0</v>
      </c>
      <c r="E35" s="67">
        <v>0</v>
      </c>
      <c r="F35" s="67">
        <v>0</v>
      </c>
      <c r="G35" s="67">
        <v>0</v>
      </c>
      <c r="H35" s="67">
        <v>0</v>
      </c>
      <c r="I35" s="67">
        <v>0</v>
      </c>
      <c r="J35" s="67">
        <v>0</v>
      </c>
      <c r="K35" s="67">
        <v>0</v>
      </c>
      <c r="L35" s="67">
        <v>0</v>
      </c>
      <c r="M35" s="67">
        <v>0</v>
      </c>
      <c r="N35" s="67">
        <v>0</v>
      </c>
      <c r="O35" s="67">
        <v>0</v>
      </c>
      <c r="P35" s="67">
        <v>0</v>
      </c>
      <c r="Q35" s="68">
        <v>0</v>
      </c>
    </row>
    <row r="36" spans="1:17" x14ac:dyDescent="0.25">
      <c r="A36" s="52"/>
      <c r="B36" s="53" t="s">
        <v>60</v>
      </c>
      <c r="C36" s="54">
        <v>45670</v>
      </c>
      <c r="D36" s="92">
        <v>8.25</v>
      </c>
      <c r="E36" s="92">
        <v>8.25</v>
      </c>
      <c r="F36" s="92">
        <v>8.25</v>
      </c>
      <c r="G36" s="92">
        <v>8.25</v>
      </c>
      <c r="H36" s="92">
        <v>8.25</v>
      </c>
      <c r="I36" s="92">
        <v>8.25</v>
      </c>
      <c r="J36" s="92">
        <v>8.25</v>
      </c>
      <c r="K36" s="92">
        <v>8.25</v>
      </c>
      <c r="L36" s="92">
        <v>8.25</v>
      </c>
      <c r="M36" s="92">
        <v>8.25</v>
      </c>
      <c r="N36" s="92">
        <v>8.25</v>
      </c>
      <c r="O36" s="92">
        <v>8.25</v>
      </c>
      <c r="P36" s="92">
        <v>8.25</v>
      </c>
      <c r="Q36" s="93">
        <v>8.25</v>
      </c>
    </row>
    <row r="37" spans="1:17" x14ac:dyDescent="0.25">
      <c r="A37" s="52"/>
      <c r="B37" s="53" t="s">
        <v>61</v>
      </c>
      <c r="C37" s="54">
        <v>45671</v>
      </c>
      <c r="D37" s="92">
        <v>8.25</v>
      </c>
      <c r="E37" s="92">
        <v>8.25</v>
      </c>
      <c r="F37" s="92">
        <v>8.25</v>
      </c>
      <c r="G37" s="92">
        <v>8.25</v>
      </c>
      <c r="H37" s="92">
        <v>8.25</v>
      </c>
      <c r="I37" s="92">
        <v>8.25</v>
      </c>
      <c r="J37" s="92">
        <v>8.25</v>
      </c>
      <c r="K37" s="92">
        <v>8.25</v>
      </c>
      <c r="L37" s="92">
        <v>8.25</v>
      </c>
      <c r="M37" s="92">
        <v>8.25</v>
      </c>
      <c r="N37" s="92">
        <v>8.25</v>
      </c>
      <c r="O37" s="92">
        <v>8.25</v>
      </c>
      <c r="P37" s="92">
        <v>8.25</v>
      </c>
      <c r="Q37" s="93">
        <v>8.25</v>
      </c>
    </row>
    <row r="38" spans="1:17" x14ac:dyDescent="0.25">
      <c r="A38" s="52"/>
      <c r="B38" s="53" t="s">
        <v>55</v>
      </c>
      <c r="C38" s="54">
        <v>45672</v>
      </c>
      <c r="D38" s="92">
        <v>8.25</v>
      </c>
      <c r="E38" s="92">
        <v>8.25</v>
      </c>
      <c r="F38" s="92">
        <v>8.25</v>
      </c>
      <c r="G38" s="92">
        <v>8.25</v>
      </c>
      <c r="H38" s="92">
        <v>8.25</v>
      </c>
      <c r="I38" s="92">
        <v>8.25</v>
      </c>
      <c r="J38" s="92">
        <v>8.25</v>
      </c>
      <c r="K38" s="92">
        <v>8.25</v>
      </c>
      <c r="L38" s="92">
        <v>8.25</v>
      </c>
      <c r="M38" s="92">
        <v>8.25</v>
      </c>
      <c r="N38" s="92">
        <v>8.25</v>
      </c>
      <c r="O38" s="92">
        <v>8.25</v>
      </c>
      <c r="P38" s="92">
        <v>8.25</v>
      </c>
      <c r="Q38" s="93">
        <v>8.25</v>
      </c>
    </row>
    <row r="39" spans="1:17" x14ac:dyDescent="0.25">
      <c r="A39" s="52"/>
      <c r="B39" s="53" t="s">
        <v>56</v>
      </c>
      <c r="C39" s="54">
        <v>45673</v>
      </c>
      <c r="D39" s="92">
        <v>8.25</v>
      </c>
      <c r="E39" s="92">
        <v>8.25</v>
      </c>
      <c r="F39" s="92">
        <v>8.25</v>
      </c>
      <c r="G39" s="92">
        <v>8.25</v>
      </c>
      <c r="H39" s="92">
        <v>8.25</v>
      </c>
      <c r="I39" s="92">
        <v>8.25</v>
      </c>
      <c r="J39" s="92">
        <v>8.25</v>
      </c>
      <c r="K39" s="92">
        <v>8.25</v>
      </c>
      <c r="L39" s="92">
        <v>8.25</v>
      </c>
      <c r="M39" s="92">
        <v>8.25</v>
      </c>
      <c r="N39" s="92">
        <v>8.25</v>
      </c>
      <c r="O39" s="92">
        <v>8.25</v>
      </c>
      <c r="P39" s="92">
        <v>8.25</v>
      </c>
      <c r="Q39" s="93">
        <v>8.25</v>
      </c>
    </row>
    <row r="40" spans="1:17" x14ac:dyDescent="0.25">
      <c r="A40" s="52"/>
      <c r="B40" s="53" t="s">
        <v>57</v>
      </c>
      <c r="C40" s="54">
        <v>45674</v>
      </c>
      <c r="D40" s="92">
        <v>7</v>
      </c>
      <c r="E40" s="92">
        <v>7</v>
      </c>
      <c r="F40" s="92">
        <v>7</v>
      </c>
      <c r="G40" s="92">
        <v>7</v>
      </c>
      <c r="H40" s="92">
        <v>7</v>
      </c>
      <c r="I40" s="92">
        <v>7</v>
      </c>
      <c r="J40" s="92">
        <v>7</v>
      </c>
      <c r="K40" s="92">
        <v>7</v>
      </c>
      <c r="L40" s="92">
        <v>7</v>
      </c>
      <c r="M40" s="92">
        <v>7</v>
      </c>
      <c r="N40" s="92">
        <v>7</v>
      </c>
      <c r="O40" s="92">
        <v>7</v>
      </c>
      <c r="P40" s="92">
        <v>7</v>
      </c>
      <c r="Q40" s="93">
        <v>7</v>
      </c>
    </row>
    <row r="41" spans="1:17" x14ac:dyDescent="0.25">
      <c r="A41" s="49"/>
      <c r="B41" s="65" t="s">
        <v>58</v>
      </c>
      <c r="C41" s="66">
        <v>45675</v>
      </c>
      <c r="D41" s="67">
        <v>0</v>
      </c>
      <c r="E41" s="67">
        <v>0</v>
      </c>
      <c r="F41" s="67">
        <v>0</v>
      </c>
      <c r="G41" s="67">
        <v>0</v>
      </c>
      <c r="H41" s="67">
        <v>0</v>
      </c>
      <c r="I41" s="67">
        <v>0</v>
      </c>
      <c r="J41" s="67">
        <v>0</v>
      </c>
      <c r="K41" s="67">
        <v>0</v>
      </c>
      <c r="L41" s="67">
        <v>0</v>
      </c>
      <c r="M41" s="67">
        <v>0</v>
      </c>
      <c r="N41" s="67">
        <v>0</v>
      </c>
      <c r="O41" s="67">
        <v>0</v>
      </c>
      <c r="P41" s="67">
        <v>0</v>
      </c>
      <c r="Q41" s="68">
        <v>0</v>
      </c>
    </row>
    <row r="42" spans="1:17" x14ac:dyDescent="0.25">
      <c r="A42" s="49"/>
      <c r="B42" s="65" t="s">
        <v>59</v>
      </c>
      <c r="C42" s="66">
        <v>45676</v>
      </c>
      <c r="D42" s="67">
        <v>0</v>
      </c>
      <c r="E42" s="67">
        <v>0</v>
      </c>
      <c r="F42" s="67">
        <v>0</v>
      </c>
      <c r="G42" s="67">
        <v>0</v>
      </c>
      <c r="H42" s="67">
        <v>0</v>
      </c>
      <c r="I42" s="67">
        <v>0</v>
      </c>
      <c r="J42" s="67">
        <v>0</v>
      </c>
      <c r="K42" s="67">
        <v>0</v>
      </c>
      <c r="L42" s="67">
        <v>0</v>
      </c>
      <c r="M42" s="67">
        <v>0</v>
      </c>
      <c r="N42" s="67">
        <v>0</v>
      </c>
      <c r="O42" s="67">
        <v>0</v>
      </c>
      <c r="P42" s="67">
        <v>0</v>
      </c>
      <c r="Q42" s="68">
        <v>0</v>
      </c>
    </row>
    <row r="43" spans="1:17" x14ac:dyDescent="0.25">
      <c r="A43" s="52"/>
      <c r="B43" s="53" t="s">
        <v>60</v>
      </c>
      <c r="C43" s="54">
        <v>45677</v>
      </c>
      <c r="D43" s="92">
        <v>8.25</v>
      </c>
      <c r="E43" s="92">
        <v>8.25</v>
      </c>
      <c r="F43" s="92">
        <v>8.25</v>
      </c>
      <c r="G43" s="92">
        <v>8.25</v>
      </c>
      <c r="H43" s="92">
        <v>8.25</v>
      </c>
      <c r="I43" s="92">
        <v>8.25</v>
      </c>
      <c r="J43" s="92">
        <v>8.25</v>
      </c>
      <c r="K43" s="92">
        <v>8.25</v>
      </c>
      <c r="L43" s="92">
        <v>8.25</v>
      </c>
      <c r="M43" s="92">
        <v>8.25</v>
      </c>
      <c r="N43" s="92">
        <v>8.25</v>
      </c>
      <c r="O43" s="92">
        <v>8.25</v>
      </c>
      <c r="P43" s="92">
        <v>8.25</v>
      </c>
      <c r="Q43" s="93">
        <v>8.25</v>
      </c>
    </row>
    <row r="44" spans="1:17" x14ac:dyDescent="0.25">
      <c r="A44" s="52"/>
      <c r="B44" s="53" t="s">
        <v>61</v>
      </c>
      <c r="C44" s="54">
        <v>45678</v>
      </c>
      <c r="D44" s="92">
        <v>8.25</v>
      </c>
      <c r="E44" s="92">
        <v>8.25</v>
      </c>
      <c r="F44" s="92">
        <v>8.25</v>
      </c>
      <c r="G44" s="92">
        <v>8.25</v>
      </c>
      <c r="H44" s="92">
        <v>8.25</v>
      </c>
      <c r="I44" s="92">
        <v>8.25</v>
      </c>
      <c r="J44" s="92">
        <v>8.25</v>
      </c>
      <c r="K44" s="92">
        <v>8.25</v>
      </c>
      <c r="L44" s="92">
        <v>8.25</v>
      </c>
      <c r="M44" s="92">
        <v>8.25</v>
      </c>
      <c r="N44" s="92">
        <v>8.25</v>
      </c>
      <c r="O44" s="92">
        <v>8.25</v>
      </c>
      <c r="P44" s="92">
        <v>8.25</v>
      </c>
      <c r="Q44" s="93">
        <v>8.25</v>
      </c>
    </row>
    <row r="45" spans="1:17" x14ac:dyDescent="0.25">
      <c r="A45" s="52"/>
      <c r="B45" s="53" t="s">
        <v>55</v>
      </c>
      <c r="C45" s="54">
        <v>45679</v>
      </c>
      <c r="D45" s="92">
        <v>8.25</v>
      </c>
      <c r="E45" s="92">
        <v>8.25</v>
      </c>
      <c r="F45" s="92">
        <v>8.25</v>
      </c>
      <c r="G45" s="92">
        <v>8.25</v>
      </c>
      <c r="H45" s="92">
        <v>8.25</v>
      </c>
      <c r="I45" s="92">
        <v>8.25</v>
      </c>
      <c r="J45" s="92">
        <v>8.25</v>
      </c>
      <c r="K45" s="92">
        <v>8.25</v>
      </c>
      <c r="L45" s="92">
        <v>8.25</v>
      </c>
      <c r="M45" s="92">
        <v>8.25</v>
      </c>
      <c r="N45" s="92">
        <v>8.25</v>
      </c>
      <c r="O45" s="92">
        <v>8.25</v>
      </c>
      <c r="P45" s="92">
        <v>8.25</v>
      </c>
      <c r="Q45" s="93">
        <v>8.25</v>
      </c>
    </row>
    <row r="46" spans="1:17" x14ac:dyDescent="0.25">
      <c r="A46" s="52"/>
      <c r="B46" s="53" t="s">
        <v>56</v>
      </c>
      <c r="C46" s="54">
        <v>45680</v>
      </c>
      <c r="D46" s="92">
        <v>8.25</v>
      </c>
      <c r="E46" s="92">
        <v>8.25</v>
      </c>
      <c r="F46" s="92">
        <v>8.25</v>
      </c>
      <c r="G46" s="92">
        <v>8.25</v>
      </c>
      <c r="H46" s="92">
        <v>8.25</v>
      </c>
      <c r="I46" s="92">
        <v>8.25</v>
      </c>
      <c r="J46" s="92">
        <v>8.25</v>
      </c>
      <c r="K46" s="92">
        <v>8.25</v>
      </c>
      <c r="L46" s="92">
        <v>8.25</v>
      </c>
      <c r="M46" s="92">
        <v>8.25</v>
      </c>
      <c r="N46" s="92">
        <v>8.25</v>
      </c>
      <c r="O46" s="92">
        <v>8.25</v>
      </c>
      <c r="P46" s="92">
        <v>8.25</v>
      </c>
      <c r="Q46" s="93">
        <v>8.25</v>
      </c>
    </row>
    <row r="47" spans="1:17" x14ac:dyDescent="0.25">
      <c r="A47" s="52"/>
      <c r="B47" s="53" t="s">
        <v>57</v>
      </c>
      <c r="C47" s="54">
        <v>45681</v>
      </c>
      <c r="D47" s="92">
        <v>7</v>
      </c>
      <c r="E47" s="92">
        <v>7</v>
      </c>
      <c r="F47" s="92">
        <v>7</v>
      </c>
      <c r="G47" s="92">
        <v>7</v>
      </c>
      <c r="H47" s="92">
        <v>7</v>
      </c>
      <c r="I47" s="92">
        <v>7</v>
      </c>
      <c r="J47" s="92">
        <v>7</v>
      </c>
      <c r="K47" s="92">
        <v>7</v>
      </c>
      <c r="L47" s="92">
        <v>7</v>
      </c>
      <c r="M47" s="92">
        <v>7</v>
      </c>
      <c r="N47" s="92">
        <v>7</v>
      </c>
      <c r="O47" s="92">
        <v>7</v>
      </c>
      <c r="P47" s="92">
        <v>7</v>
      </c>
      <c r="Q47" s="93">
        <v>7</v>
      </c>
    </row>
    <row r="48" spans="1:17" x14ac:dyDescent="0.25">
      <c r="A48" s="49"/>
      <c r="B48" s="65" t="s">
        <v>58</v>
      </c>
      <c r="C48" s="66">
        <v>45682</v>
      </c>
      <c r="D48" s="67">
        <v>0</v>
      </c>
      <c r="E48" s="67">
        <v>0</v>
      </c>
      <c r="F48" s="67">
        <v>0</v>
      </c>
      <c r="G48" s="67">
        <v>0</v>
      </c>
      <c r="H48" s="67">
        <v>0</v>
      </c>
      <c r="I48" s="67">
        <v>0</v>
      </c>
      <c r="J48" s="67">
        <v>0</v>
      </c>
      <c r="K48" s="67">
        <v>0</v>
      </c>
      <c r="L48" s="67">
        <v>0</v>
      </c>
      <c r="M48" s="67">
        <v>0</v>
      </c>
      <c r="N48" s="67">
        <v>0</v>
      </c>
      <c r="O48" s="67">
        <v>0</v>
      </c>
      <c r="P48" s="67">
        <v>0</v>
      </c>
      <c r="Q48" s="68">
        <v>0</v>
      </c>
    </row>
    <row r="49" spans="1:17" x14ac:dyDescent="0.25">
      <c r="A49" s="49"/>
      <c r="B49" s="65" t="s">
        <v>59</v>
      </c>
      <c r="C49" s="66">
        <v>45683</v>
      </c>
      <c r="D49" s="67">
        <v>0</v>
      </c>
      <c r="E49" s="67">
        <v>0</v>
      </c>
      <c r="F49" s="67">
        <v>0</v>
      </c>
      <c r="G49" s="67">
        <v>0</v>
      </c>
      <c r="H49" s="67">
        <v>0</v>
      </c>
      <c r="I49" s="67">
        <v>0</v>
      </c>
      <c r="J49" s="67">
        <v>0</v>
      </c>
      <c r="K49" s="67">
        <v>0</v>
      </c>
      <c r="L49" s="67">
        <v>0</v>
      </c>
      <c r="M49" s="67">
        <v>0</v>
      </c>
      <c r="N49" s="67">
        <v>0</v>
      </c>
      <c r="O49" s="67">
        <v>0</v>
      </c>
      <c r="P49" s="67">
        <v>0</v>
      </c>
      <c r="Q49" s="68">
        <v>0</v>
      </c>
    </row>
    <row r="50" spans="1:17" x14ac:dyDescent="0.25">
      <c r="A50" s="52"/>
      <c r="B50" s="53" t="s">
        <v>60</v>
      </c>
      <c r="C50" s="54">
        <v>45684</v>
      </c>
      <c r="D50" s="92">
        <v>8.25</v>
      </c>
      <c r="E50" s="92">
        <v>8.25</v>
      </c>
      <c r="F50" s="92">
        <v>8.25</v>
      </c>
      <c r="G50" s="92">
        <v>8.25</v>
      </c>
      <c r="H50" s="92">
        <v>8.25</v>
      </c>
      <c r="I50" s="92">
        <v>8.25</v>
      </c>
      <c r="J50" s="92">
        <v>8.25</v>
      </c>
      <c r="K50" s="92">
        <v>8.25</v>
      </c>
      <c r="L50" s="92">
        <v>8.25</v>
      </c>
      <c r="M50" s="92">
        <v>8.25</v>
      </c>
      <c r="N50" s="92">
        <v>8.25</v>
      </c>
      <c r="O50" s="92">
        <v>8.25</v>
      </c>
      <c r="P50" s="92">
        <v>8.25</v>
      </c>
      <c r="Q50" s="93">
        <v>8.25</v>
      </c>
    </row>
    <row r="51" spans="1:17" x14ac:dyDescent="0.25">
      <c r="A51" s="52"/>
      <c r="B51" s="53" t="s">
        <v>61</v>
      </c>
      <c r="C51" s="54">
        <v>45685</v>
      </c>
      <c r="D51" s="92">
        <v>8.25</v>
      </c>
      <c r="E51" s="92">
        <v>8.25</v>
      </c>
      <c r="F51" s="92">
        <v>8.25</v>
      </c>
      <c r="G51" s="92">
        <v>8.25</v>
      </c>
      <c r="H51" s="92">
        <v>8.25</v>
      </c>
      <c r="I51" s="92">
        <v>8.25</v>
      </c>
      <c r="J51" s="92">
        <v>8.25</v>
      </c>
      <c r="K51" s="92">
        <v>8.25</v>
      </c>
      <c r="L51" s="92">
        <v>8.25</v>
      </c>
      <c r="M51" s="92">
        <v>8.25</v>
      </c>
      <c r="N51" s="92">
        <v>8.25</v>
      </c>
      <c r="O51" s="92">
        <v>8.25</v>
      </c>
      <c r="P51" s="92">
        <v>8.25</v>
      </c>
      <c r="Q51" s="93">
        <v>8.25</v>
      </c>
    </row>
    <row r="52" spans="1:17" x14ac:dyDescent="0.25">
      <c r="A52" s="52"/>
      <c r="B52" s="53" t="s">
        <v>55</v>
      </c>
      <c r="C52" s="54">
        <v>45686</v>
      </c>
      <c r="D52" s="92">
        <v>8.25</v>
      </c>
      <c r="E52" s="92">
        <v>8.25</v>
      </c>
      <c r="F52" s="92">
        <v>8.25</v>
      </c>
      <c r="G52" s="92">
        <v>8.25</v>
      </c>
      <c r="H52" s="92">
        <v>8.25</v>
      </c>
      <c r="I52" s="92">
        <v>8.25</v>
      </c>
      <c r="J52" s="92">
        <v>8.25</v>
      </c>
      <c r="K52" s="92">
        <v>8.25</v>
      </c>
      <c r="L52" s="92">
        <v>8.25</v>
      </c>
      <c r="M52" s="92">
        <v>8.25</v>
      </c>
      <c r="N52" s="92">
        <v>8.25</v>
      </c>
      <c r="O52" s="92">
        <v>8.25</v>
      </c>
      <c r="P52" s="92">
        <v>8.25</v>
      </c>
      <c r="Q52" s="93">
        <v>8.25</v>
      </c>
    </row>
    <row r="53" spans="1:17" x14ac:dyDescent="0.25">
      <c r="A53" s="52"/>
      <c r="B53" s="53" t="s">
        <v>56</v>
      </c>
      <c r="C53" s="54">
        <v>45687</v>
      </c>
      <c r="D53" s="92">
        <v>8.25</v>
      </c>
      <c r="E53" s="92">
        <v>8.25</v>
      </c>
      <c r="F53" s="92">
        <v>8.25</v>
      </c>
      <c r="G53" s="92">
        <v>8.25</v>
      </c>
      <c r="H53" s="92">
        <v>8.25</v>
      </c>
      <c r="I53" s="92">
        <v>8.25</v>
      </c>
      <c r="J53" s="92">
        <v>8.25</v>
      </c>
      <c r="K53" s="92">
        <v>8.25</v>
      </c>
      <c r="L53" s="92">
        <v>8.25</v>
      </c>
      <c r="M53" s="92">
        <v>8.25</v>
      </c>
      <c r="N53" s="92">
        <v>8.25</v>
      </c>
      <c r="O53" s="92">
        <v>8.25</v>
      </c>
      <c r="P53" s="92">
        <v>8.25</v>
      </c>
      <c r="Q53" s="93">
        <v>8.25</v>
      </c>
    </row>
    <row r="54" spans="1:17" ht="15.75" thickBot="1" x14ac:dyDescent="0.3">
      <c r="A54" s="52"/>
      <c r="B54" s="55" t="s">
        <v>57</v>
      </c>
      <c r="C54" s="56">
        <v>45688</v>
      </c>
      <c r="D54" s="94">
        <v>7</v>
      </c>
      <c r="E54" s="94">
        <v>7</v>
      </c>
      <c r="F54" s="94">
        <v>7</v>
      </c>
      <c r="G54" s="94">
        <v>7</v>
      </c>
      <c r="H54" s="94">
        <v>7</v>
      </c>
      <c r="I54" s="94">
        <v>7</v>
      </c>
      <c r="J54" s="94">
        <v>7</v>
      </c>
      <c r="K54" s="94">
        <v>7</v>
      </c>
      <c r="L54" s="94">
        <v>7</v>
      </c>
      <c r="M54" s="94">
        <v>7</v>
      </c>
      <c r="N54" s="94">
        <v>7</v>
      </c>
      <c r="O54" s="94">
        <v>7</v>
      </c>
      <c r="P54" s="94">
        <v>7</v>
      </c>
      <c r="Q54" s="95">
        <v>7</v>
      </c>
    </row>
    <row r="55" spans="1:17" x14ac:dyDescent="0.25">
      <c r="A55" s="49"/>
      <c r="B55" s="69" t="s">
        <v>58</v>
      </c>
      <c r="C55" s="70">
        <v>45689</v>
      </c>
      <c r="D55" s="71">
        <v>0</v>
      </c>
      <c r="E55" s="71">
        <v>0</v>
      </c>
      <c r="F55" s="71">
        <v>0</v>
      </c>
      <c r="G55" s="71">
        <v>0</v>
      </c>
      <c r="H55" s="71">
        <v>0</v>
      </c>
      <c r="I55" s="71">
        <v>0</v>
      </c>
      <c r="J55" s="71">
        <v>0</v>
      </c>
      <c r="K55" s="71">
        <v>0</v>
      </c>
      <c r="L55" s="71">
        <v>0</v>
      </c>
      <c r="M55" s="71">
        <v>0</v>
      </c>
      <c r="N55" s="71">
        <v>0</v>
      </c>
      <c r="O55" s="71">
        <v>0</v>
      </c>
      <c r="P55" s="71">
        <v>0</v>
      </c>
      <c r="Q55" s="72">
        <v>0</v>
      </c>
    </row>
    <row r="56" spans="1:17" x14ac:dyDescent="0.25">
      <c r="A56" s="49"/>
      <c r="B56" s="65" t="s">
        <v>59</v>
      </c>
      <c r="C56" s="66">
        <v>45690</v>
      </c>
      <c r="D56" s="67">
        <v>0</v>
      </c>
      <c r="E56" s="67">
        <v>0</v>
      </c>
      <c r="F56" s="67">
        <v>0</v>
      </c>
      <c r="G56" s="67">
        <v>0</v>
      </c>
      <c r="H56" s="67">
        <v>0</v>
      </c>
      <c r="I56" s="67">
        <v>0</v>
      </c>
      <c r="J56" s="77">
        <v>0</v>
      </c>
      <c r="K56" s="67">
        <v>0</v>
      </c>
      <c r="L56" s="67">
        <v>0</v>
      </c>
      <c r="M56" s="67">
        <v>0</v>
      </c>
      <c r="N56" s="67">
        <v>0</v>
      </c>
      <c r="O56" s="67">
        <v>0</v>
      </c>
      <c r="P56" s="67">
        <v>0</v>
      </c>
      <c r="Q56" s="68">
        <v>0</v>
      </c>
    </row>
    <row r="57" spans="1:17" x14ac:dyDescent="0.25">
      <c r="A57" s="52"/>
      <c r="B57" s="53" t="s">
        <v>60</v>
      </c>
      <c r="C57" s="54">
        <v>45691</v>
      </c>
      <c r="D57" s="92">
        <v>8.25</v>
      </c>
      <c r="E57" s="92">
        <v>8.25</v>
      </c>
      <c r="F57" s="92">
        <v>8.25</v>
      </c>
      <c r="G57" s="92">
        <v>8.25</v>
      </c>
      <c r="H57" s="92">
        <v>8.25</v>
      </c>
      <c r="I57" s="92">
        <v>8.25</v>
      </c>
      <c r="J57" s="77">
        <v>0</v>
      </c>
      <c r="K57" s="92">
        <v>8.25</v>
      </c>
      <c r="L57" s="92">
        <v>8.25</v>
      </c>
      <c r="M57" s="92">
        <v>8.25</v>
      </c>
      <c r="N57" s="92">
        <v>8.25</v>
      </c>
      <c r="O57" s="92">
        <v>8.25</v>
      </c>
      <c r="P57" s="92">
        <v>8.25</v>
      </c>
      <c r="Q57" s="93">
        <v>8.25</v>
      </c>
    </row>
    <row r="58" spans="1:17" x14ac:dyDescent="0.25">
      <c r="A58" s="52"/>
      <c r="B58" s="53" t="s">
        <v>61</v>
      </c>
      <c r="C58" s="54">
        <v>45692</v>
      </c>
      <c r="D58" s="92">
        <v>8.25</v>
      </c>
      <c r="E58" s="92">
        <v>8.25</v>
      </c>
      <c r="F58" s="92">
        <v>8.25</v>
      </c>
      <c r="G58" s="92">
        <v>8.25</v>
      </c>
      <c r="H58" s="92">
        <v>8.25</v>
      </c>
      <c r="I58" s="92">
        <v>8.25</v>
      </c>
      <c r="J58" s="77">
        <v>0</v>
      </c>
      <c r="K58" s="92">
        <v>8.25</v>
      </c>
      <c r="L58" s="92">
        <v>8.25</v>
      </c>
      <c r="M58" s="92">
        <v>8.25</v>
      </c>
      <c r="N58" s="77">
        <v>0</v>
      </c>
      <c r="O58" s="92">
        <v>8.25</v>
      </c>
      <c r="P58" s="92">
        <v>8.25</v>
      </c>
      <c r="Q58" s="93">
        <v>8.25</v>
      </c>
    </row>
    <row r="59" spans="1:17" x14ac:dyDescent="0.25">
      <c r="A59" s="52"/>
      <c r="B59" s="53" t="s">
        <v>55</v>
      </c>
      <c r="C59" s="54">
        <v>45693</v>
      </c>
      <c r="D59" s="92">
        <v>8.25</v>
      </c>
      <c r="E59" s="92">
        <v>8.25</v>
      </c>
      <c r="F59" s="92">
        <v>8.25</v>
      </c>
      <c r="G59" s="92">
        <v>8.25</v>
      </c>
      <c r="H59" s="92">
        <v>8.25</v>
      </c>
      <c r="I59" s="92">
        <v>8.25</v>
      </c>
      <c r="J59" s="77">
        <v>0</v>
      </c>
      <c r="K59" s="92">
        <v>8.25</v>
      </c>
      <c r="L59" s="92">
        <v>8.25</v>
      </c>
      <c r="M59" s="92">
        <v>8.25</v>
      </c>
      <c r="N59" s="77">
        <v>0</v>
      </c>
      <c r="O59" s="92">
        <v>8.25</v>
      </c>
      <c r="P59" s="92">
        <v>8.25</v>
      </c>
      <c r="Q59" s="93">
        <v>8.25</v>
      </c>
    </row>
    <row r="60" spans="1:17" x14ac:dyDescent="0.25">
      <c r="A60" s="52"/>
      <c r="B60" s="53" t="s">
        <v>56</v>
      </c>
      <c r="C60" s="54">
        <v>45694</v>
      </c>
      <c r="D60" s="92">
        <v>8.25</v>
      </c>
      <c r="E60" s="92">
        <v>8.25</v>
      </c>
      <c r="F60" s="92">
        <v>8.25</v>
      </c>
      <c r="G60" s="92">
        <v>8.25</v>
      </c>
      <c r="H60" s="92">
        <v>8.25</v>
      </c>
      <c r="I60" s="92">
        <v>8.25</v>
      </c>
      <c r="J60" s="77">
        <v>0</v>
      </c>
      <c r="K60" s="92">
        <v>8.25</v>
      </c>
      <c r="L60" s="92">
        <v>8.25</v>
      </c>
      <c r="M60" s="92">
        <v>8.25</v>
      </c>
      <c r="N60" s="77">
        <v>0</v>
      </c>
      <c r="O60" s="92">
        <v>8.25</v>
      </c>
      <c r="P60" s="92">
        <v>8.25</v>
      </c>
      <c r="Q60" s="93">
        <v>8.25</v>
      </c>
    </row>
    <row r="61" spans="1:17" x14ac:dyDescent="0.25">
      <c r="A61" s="52"/>
      <c r="B61" s="53" t="s">
        <v>57</v>
      </c>
      <c r="C61" s="54">
        <v>45695</v>
      </c>
      <c r="D61" s="92">
        <v>7</v>
      </c>
      <c r="E61" s="92">
        <v>7</v>
      </c>
      <c r="F61" s="92">
        <v>7</v>
      </c>
      <c r="G61" s="92">
        <v>7</v>
      </c>
      <c r="H61" s="92">
        <v>7</v>
      </c>
      <c r="I61" s="92">
        <v>7</v>
      </c>
      <c r="J61" s="92">
        <v>7</v>
      </c>
      <c r="K61" s="92">
        <v>7</v>
      </c>
      <c r="L61" s="92">
        <v>7</v>
      </c>
      <c r="M61" s="92">
        <v>7</v>
      </c>
      <c r="N61" s="77">
        <v>0</v>
      </c>
      <c r="O61" s="92">
        <v>7</v>
      </c>
      <c r="P61" s="92">
        <v>7</v>
      </c>
      <c r="Q61" s="93">
        <v>7</v>
      </c>
    </row>
    <row r="62" spans="1:17" x14ac:dyDescent="0.25">
      <c r="A62" s="49"/>
      <c r="B62" s="65" t="s">
        <v>58</v>
      </c>
      <c r="C62" s="66">
        <v>45696</v>
      </c>
      <c r="D62" s="67">
        <v>0</v>
      </c>
      <c r="E62" s="67">
        <v>0</v>
      </c>
      <c r="F62" s="67">
        <v>0</v>
      </c>
      <c r="G62" s="67">
        <v>0</v>
      </c>
      <c r="H62" s="67">
        <v>0</v>
      </c>
      <c r="I62" s="67">
        <v>0</v>
      </c>
      <c r="J62" s="67">
        <v>0</v>
      </c>
      <c r="K62" s="67">
        <v>0</v>
      </c>
      <c r="L62" s="67">
        <v>0</v>
      </c>
      <c r="M62" s="67">
        <v>0</v>
      </c>
      <c r="N62" s="77">
        <v>0</v>
      </c>
      <c r="O62" s="67">
        <v>0</v>
      </c>
      <c r="P62" s="67">
        <v>0</v>
      </c>
      <c r="Q62" s="68">
        <v>0</v>
      </c>
    </row>
    <row r="63" spans="1:17" x14ac:dyDescent="0.25">
      <c r="A63" s="49"/>
      <c r="B63" s="65" t="s">
        <v>59</v>
      </c>
      <c r="C63" s="66">
        <v>45697</v>
      </c>
      <c r="D63" s="67">
        <v>0</v>
      </c>
      <c r="E63" s="67">
        <v>0</v>
      </c>
      <c r="F63" s="67">
        <v>0</v>
      </c>
      <c r="G63" s="67">
        <v>0</v>
      </c>
      <c r="H63" s="67">
        <v>0</v>
      </c>
      <c r="I63" s="67">
        <v>0</v>
      </c>
      <c r="J63" s="67">
        <v>0</v>
      </c>
      <c r="K63" s="67">
        <v>0</v>
      </c>
      <c r="L63" s="67">
        <v>0</v>
      </c>
      <c r="M63" s="67">
        <v>0</v>
      </c>
      <c r="N63" s="67">
        <v>0</v>
      </c>
      <c r="O63" s="67">
        <v>0</v>
      </c>
      <c r="P63" s="67">
        <v>0</v>
      </c>
      <c r="Q63" s="68">
        <v>0</v>
      </c>
    </row>
    <row r="64" spans="1:17" x14ac:dyDescent="0.25">
      <c r="A64" s="52"/>
      <c r="B64" s="53" t="s">
        <v>60</v>
      </c>
      <c r="C64" s="54">
        <v>45698</v>
      </c>
      <c r="D64" s="92">
        <v>8.25</v>
      </c>
      <c r="E64" s="92">
        <v>8.25</v>
      </c>
      <c r="F64" s="92">
        <v>8.25</v>
      </c>
      <c r="G64" s="92">
        <v>8.25</v>
      </c>
      <c r="H64" s="92">
        <v>8.25</v>
      </c>
      <c r="I64" s="92">
        <v>8.25</v>
      </c>
      <c r="J64" s="92">
        <v>8.25</v>
      </c>
      <c r="K64" s="92">
        <v>8.25</v>
      </c>
      <c r="L64" s="92">
        <v>8.25</v>
      </c>
      <c r="M64" s="92">
        <v>8.25</v>
      </c>
      <c r="N64" s="92">
        <v>8.25</v>
      </c>
      <c r="O64" s="92">
        <v>8.25</v>
      </c>
      <c r="P64" s="92">
        <v>8.25</v>
      </c>
      <c r="Q64" s="93">
        <v>8.25</v>
      </c>
    </row>
    <row r="65" spans="1:17" x14ac:dyDescent="0.25">
      <c r="A65" s="52"/>
      <c r="B65" s="53" t="s">
        <v>61</v>
      </c>
      <c r="C65" s="54">
        <v>45699</v>
      </c>
      <c r="D65" s="92">
        <v>8.25</v>
      </c>
      <c r="E65" s="92">
        <v>8.25</v>
      </c>
      <c r="F65" s="92">
        <v>8.25</v>
      </c>
      <c r="G65" s="92">
        <v>8.25</v>
      </c>
      <c r="H65" s="92">
        <v>8.25</v>
      </c>
      <c r="I65" s="92">
        <v>8.25</v>
      </c>
      <c r="J65" s="92">
        <v>8.25</v>
      </c>
      <c r="K65" s="92">
        <v>8.25</v>
      </c>
      <c r="L65" s="92">
        <v>8.25</v>
      </c>
      <c r="M65" s="92">
        <v>8.25</v>
      </c>
      <c r="N65" s="92">
        <v>8.25</v>
      </c>
      <c r="O65" s="92">
        <v>8.25</v>
      </c>
      <c r="P65" s="92">
        <v>8.25</v>
      </c>
      <c r="Q65" s="93">
        <v>8.25</v>
      </c>
    </row>
    <row r="66" spans="1:17" x14ac:dyDescent="0.25">
      <c r="A66" s="52"/>
      <c r="B66" s="53" t="s">
        <v>55</v>
      </c>
      <c r="C66" s="54">
        <v>45700</v>
      </c>
      <c r="D66" s="92">
        <v>8.25</v>
      </c>
      <c r="E66" s="92">
        <v>8.25</v>
      </c>
      <c r="F66" s="92">
        <v>8.25</v>
      </c>
      <c r="G66" s="92">
        <v>8.25</v>
      </c>
      <c r="H66" s="92">
        <v>8.25</v>
      </c>
      <c r="I66" s="92">
        <v>8.25</v>
      </c>
      <c r="J66" s="92">
        <v>8.25</v>
      </c>
      <c r="K66" s="92">
        <v>8.25</v>
      </c>
      <c r="L66" s="92">
        <v>8.25</v>
      </c>
      <c r="M66" s="92">
        <v>8.25</v>
      </c>
      <c r="N66" s="92">
        <v>8.25</v>
      </c>
      <c r="O66" s="92">
        <v>8.25</v>
      </c>
      <c r="P66" s="92">
        <v>8.25</v>
      </c>
      <c r="Q66" s="93">
        <v>8.25</v>
      </c>
    </row>
    <row r="67" spans="1:17" x14ac:dyDescent="0.25">
      <c r="A67" s="52"/>
      <c r="B67" s="53" t="s">
        <v>56</v>
      </c>
      <c r="C67" s="54">
        <v>45701</v>
      </c>
      <c r="D67" s="92">
        <v>8.25</v>
      </c>
      <c r="E67" s="92">
        <v>8.25</v>
      </c>
      <c r="F67" s="92">
        <v>8.25</v>
      </c>
      <c r="G67" s="92">
        <v>8.25</v>
      </c>
      <c r="H67" s="92">
        <v>8.25</v>
      </c>
      <c r="I67" s="92">
        <v>8.25</v>
      </c>
      <c r="J67" s="92">
        <v>8.25</v>
      </c>
      <c r="K67" s="92">
        <v>8.25</v>
      </c>
      <c r="L67" s="92">
        <v>8.25</v>
      </c>
      <c r="M67" s="92">
        <v>8.25</v>
      </c>
      <c r="N67" s="92">
        <v>8.25</v>
      </c>
      <c r="O67" s="92">
        <v>8.25</v>
      </c>
      <c r="P67" s="92">
        <v>8.25</v>
      </c>
      <c r="Q67" s="93">
        <v>8.25</v>
      </c>
    </row>
    <row r="68" spans="1:17" x14ac:dyDescent="0.25">
      <c r="A68" s="52"/>
      <c r="B68" s="53" t="s">
        <v>57</v>
      </c>
      <c r="C68" s="54">
        <v>45702</v>
      </c>
      <c r="D68" s="92">
        <v>7</v>
      </c>
      <c r="E68" s="92">
        <v>7</v>
      </c>
      <c r="F68" s="92">
        <v>7</v>
      </c>
      <c r="G68" s="92">
        <v>7</v>
      </c>
      <c r="H68" s="92">
        <v>7</v>
      </c>
      <c r="I68" s="92">
        <v>7</v>
      </c>
      <c r="J68" s="92">
        <v>7</v>
      </c>
      <c r="K68" s="92">
        <v>7</v>
      </c>
      <c r="L68" s="92">
        <v>7</v>
      </c>
      <c r="M68" s="92">
        <v>7</v>
      </c>
      <c r="N68" s="92">
        <v>7</v>
      </c>
      <c r="O68" s="92">
        <v>7</v>
      </c>
      <c r="P68" s="92">
        <v>7</v>
      </c>
      <c r="Q68" s="93">
        <v>7</v>
      </c>
    </row>
    <row r="69" spans="1:17" x14ac:dyDescent="0.25">
      <c r="A69" s="49"/>
      <c r="B69" s="65" t="s">
        <v>58</v>
      </c>
      <c r="C69" s="66">
        <v>45703</v>
      </c>
      <c r="D69" s="67">
        <v>0</v>
      </c>
      <c r="E69" s="67">
        <v>0</v>
      </c>
      <c r="F69" s="67">
        <v>0</v>
      </c>
      <c r="G69" s="77">
        <v>0</v>
      </c>
      <c r="H69" s="77">
        <v>0</v>
      </c>
      <c r="I69" s="67">
        <v>0</v>
      </c>
      <c r="J69" s="67">
        <v>0</v>
      </c>
      <c r="K69" s="67">
        <v>0</v>
      </c>
      <c r="L69" s="67">
        <v>0</v>
      </c>
      <c r="M69" s="67">
        <v>0</v>
      </c>
      <c r="N69" s="67">
        <v>0</v>
      </c>
      <c r="O69" s="67">
        <v>0</v>
      </c>
      <c r="P69" s="67">
        <v>0</v>
      </c>
      <c r="Q69" s="68">
        <v>0</v>
      </c>
    </row>
    <row r="70" spans="1:17" x14ac:dyDescent="0.25">
      <c r="A70" s="49"/>
      <c r="B70" s="65" t="s">
        <v>59</v>
      </c>
      <c r="C70" s="66">
        <v>45704</v>
      </c>
      <c r="D70" s="67">
        <v>0</v>
      </c>
      <c r="E70" s="67">
        <v>0</v>
      </c>
      <c r="F70" s="67">
        <v>0</v>
      </c>
      <c r="G70" s="77">
        <v>0</v>
      </c>
      <c r="H70" s="77">
        <v>0</v>
      </c>
      <c r="I70" s="67">
        <v>0</v>
      </c>
      <c r="J70" s="67">
        <v>0</v>
      </c>
      <c r="K70" s="67">
        <v>0</v>
      </c>
      <c r="L70" s="67">
        <v>0</v>
      </c>
      <c r="M70" s="67">
        <v>0</v>
      </c>
      <c r="N70" s="67">
        <v>0</v>
      </c>
      <c r="O70" s="67">
        <v>0</v>
      </c>
      <c r="P70" s="67">
        <v>0</v>
      </c>
      <c r="Q70" s="68">
        <v>0</v>
      </c>
    </row>
    <row r="71" spans="1:17" x14ac:dyDescent="0.25">
      <c r="A71" s="52"/>
      <c r="B71" s="53" t="s">
        <v>60</v>
      </c>
      <c r="C71" s="54">
        <v>45705</v>
      </c>
      <c r="D71" s="92">
        <v>8.25</v>
      </c>
      <c r="E71" s="92">
        <v>8.25</v>
      </c>
      <c r="F71" s="92">
        <v>8.25</v>
      </c>
      <c r="G71" s="77">
        <v>0</v>
      </c>
      <c r="H71" s="77">
        <v>0</v>
      </c>
      <c r="I71" s="92">
        <v>8.25</v>
      </c>
      <c r="J71" s="92">
        <v>8.25</v>
      </c>
      <c r="K71" s="92">
        <v>8.25</v>
      </c>
      <c r="L71" s="92">
        <v>8.25</v>
      </c>
      <c r="M71" s="92">
        <v>8.25</v>
      </c>
      <c r="N71" s="92">
        <v>8.25</v>
      </c>
      <c r="O71" s="92">
        <v>8.25</v>
      </c>
      <c r="P71" s="92">
        <v>8.25</v>
      </c>
      <c r="Q71" s="93">
        <v>8.25</v>
      </c>
    </row>
    <row r="72" spans="1:17" x14ac:dyDescent="0.25">
      <c r="A72" s="52"/>
      <c r="B72" s="53" t="s">
        <v>61</v>
      </c>
      <c r="C72" s="54">
        <v>45706</v>
      </c>
      <c r="D72" s="92">
        <v>8.25</v>
      </c>
      <c r="E72" s="92">
        <v>8.25</v>
      </c>
      <c r="F72" s="92">
        <v>8.25</v>
      </c>
      <c r="G72" s="77">
        <v>0</v>
      </c>
      <c r="H72" s="77">
        <v>0</v>
      </c>
      <c r="I72" s="92">
        <v>8.25</v>
      </c>
      <c r="J72" s="92">
        <v>8.25</v>
      </c>
      <c r="K72" s="92">
        <v>8.25</v>
      </c>
      <c r="L72" s="92">
        <v>8.25</v>
      </c>
      <c r="M72" s="92">
        <v>8.25</v>
      </c>
      <c r="N72" s="92">
        <v>8.25</v>
      </c>
      <c r="O72" s="92">
        <v>8.25</v>
      </c>
      <c r="P72" s="92">
        <v>8.25</v>
      </c>
      <c r="Q72" s="93">
        <v>8.25</v>
      </c>
    </row>
    <row r="73" spans="1:17" x14ac:dyDescent="0.25">
      <c r="A73" s="52"/>
      <c r="B73" s="53" t="s">
        <v>55</v>
      </c>
      <c r="C73" s="54">
        <v>45707</v>
      </c>
      <c r="D73" s="92">
        <v>8.25</v>
      </c>
      <c r="E73" s="92">
        <v>8.25</v>
      </c>
      <c r="F73" s="92">
        <v>8.25</v>
      </c>
      <c r="G73" s="77">
        <v>0</v>
      </c>
      <c r="H73" s="77">
        <v>0</v>
      </c>
      <c r="I73" s="92">
        <v>8.25</v>
      </c>
      <c r="J73" s="92">
        <v>8.25</v>
      </c>
      <c r="K73" s="92">
        <v>8.25</v>
      </c>
      <c r="L73" s="92">
        <v>8.25</v>
      </c>
      <c r="M73" s="92">
        <v>8.25</v>
      </c>
      <c r="N73" s="92">
        <v>8.25</v>
      </c>
      <c r="O73" s="92">
        <v>8.25</v>
      </c>
      <c r="P73" s="92">
        <v>8.25</v>
      </c>
      <c r="Q73" s="93">
        <v>8.25</v>
      </c>
    </row>
    <row r="74" spans="1:17" x14ac:dyDescent="0.25">
      <c r="A74" s="52"/>
      <c r="B74" s="53" t="s">
        <v>56</v>
      </c>
      <c r="C74" s="54">
        <v>45708</v>
      </c>
      <c r="D74" s="92">
        <v>8.25</v>
      </c>
      <c r="E74" s="92">
        <v>8.25</v>
      </c>
      <c r="F74" s="92">
        <v>8.25</v>
      </c>
      <c r="G74" s="92">
        <v>8.25</v>
      </c>
      <c r="H74" s="77">
        <v>0</v>
      </c>
      <c r="I74" s="92">
        <v>8.25</v>
      </c>
      <c r="J74" s="92">
        <v>8.25</v>
      </c>
      <c r="K74" s="92">
        <v>8.25</v>
      </c>
      <c r="L74" s="92">
        <v>8.25</v>
      </c>
      <c r="M74" s="92">
        <v>8.25</v>
      </c>
      <c r="N74" s="92">
        <v>8.25</v>
      </c>
      <c r="O74" s="77">
        <v>0</v>
      </c>
      <c r="P74" s="92">
        <v>8.25</v>
      </c>
      <c r="Q74" s="93">
        <v>8.25</v>
      </c>
    </row>
    <row r="75" spans="1:17" x14ac:dyDescent="0.25">
      <c r="A75" s="52"/>
      <c r="B75" s="53" t="s">
        <v>57</v>
      </c>
      <c r="C75" s="54">
        <v>45709</v>
      </c>
      <c r="D75" s="92">
        <v>7</v>
      </c>
      <c r="E75" s="92">
        <v>7</v>
      </c>
      <c r="F75" s="92">
        <v>7</v>
      </c>
      <c r="G75" s="92">
        <v>7</v>
      </c>
      <c r="H75" s="77">
        <v>0</v>
      </c>
      <c r="I75" s="92">
        <v>7</v>
      </c>
      <c r="J75" s="92">
        <v>7</v>
      </c>
      <c r="K75" s="92">
        <v>7</v>
      </c>
      <c r="L75" s="92">
        <v>7</v>
      </c>
      <c r="M75" s="92">
        <v>7</v>
      </c>
      <c r="N75" s="92">
        <v>7</v>
      </c>
      <c r="O75" s="77">
        <v>0</v>
      </c>
      <c r="P75" s="92">
        <v>7</v>
      </c>
      <c r="Q75" s="93">
        <v>7</v>
      </c>
    </row>
    <row r="76" spans="1:17" x14ac:dyDescent="0.25">
      <c r="A76" s="49"/>
      <c r="B76" s="65" t="s">
        <v>58</v>
      </c>
      <c r="C76" s="66">
        <v>45710</v>
      </c>
      <c r="D76" s="67">
        <v>0</v>
      </c>
      <c r="E76" s="67">
        <v>0</v>
      </c>
      <c r="F76" s="67">
        <v>0</v>
      </c>
      <c r="G76" s="67">
        <v>0</v>
      </c>
      <c r="H76" s="77">
        <v>0</v>
      </c>
      <c r="I76" s="67">
        <v>0</v>
      </c>
      <c r="J76" s="67">
        <v>0</v>
      </c>
      <c r="K76" s="67">
        <v>0</v>
      </c>
      <c r="L76" s="67">
        <v>0</v>
      </c>
      <c r="M76" s="67">
        <v>0</v>
      </c>
      <c r="N76" s="67">
        <v>0</v>
      </c>
      <c r="O76" s="77">
        <v>0</v>
      </c>
      <c r="P76" s="67">
        <v>0</v>
      </c>
      <c r="Q76" s="68">
        <v>0</v>
      </c>
    </row>
    <row r="77" spans="1:17" x14ac:dyDescent="0.25">
      <c r="A77" s="49"/>
      <c r="B77" s="65" t="s">
        <v>59</v>
      </c>
      <c r="C77" s="66">
        <v>45711</v>
      </c>
      <c r="D77" s="67">
        <v>0</v>
      </c>
      <c r="E77" s="67">
        <v>0</v>
      </c>
      <c r="F77" s="67">
        <v>0</v>
      </c>
      <c r="G77" s="67">
        <v>0</v>
      </c>
      <c r="H77" s="77">
        <v>0</v>
      </c>
      <c r="I77" s="67">
        <v>0</v>
      </c>
      <c r="J77" s="67">
        <v>0</v>
      </c>
      <c r="K77" s="67">
        <v>0</v>
      </c>
      <c r="L77" s="67">
        <v>0</v>
      </c>
      <c r="M77" s="67">
        <v>0</v>
      </c>
      <c r="N77" s="67">
        <v>0</v>
      </c>
      <c r="O77" s="77">
        <v>0</v>
      </c>
      <c r="P77" s="67">
        <v>0</v>
      </c>
      <c r="Q77" s="68">
        <v>0</v>
      </c>
    </row>
    <row r="78" spans="1:17" x14ac:dyDescent="0.25">
      <c r="A78" s="52"/>
      <c r="B78" s="53" t="s">
        <v>60</v>
      </c>
      <c r="C78" s="54">
        <v>45712</v>
      </c>
      <c r="D78" s="92">
        <v>8.25</v>
      </c>
      <c r="E78" s="92">
        <v>8.25</v>
      </c>
      <c r="F78" s="92">
        <v>8.25</v>
      </c>
      <c r="G78" s="92">
        <v>8.25</v>
      </c>
      <c r="H78" s="77">
        <v>0</v>
      </c>
      <c r="I78" s="92">
        <v>8.25</v>
      </c>
      <c r="J78" s="92">
        <v>8.25</v>
      </c>
      <c r="K78" s="92">
        <v>8.25</v>
      </c>
      <c r="L78" s="92">
        <v>8.25</v>
      </c>
      <c r="M78" s="92">
        <v>8.25</v>
      </c>
      <c r="N78" s="92">
        <v>8.25</v>
      </c>
      <c r="O78" s="77">
        <v>0</v>
      </c>
      <c r="P78" s="92">
        <v>8.25</v>
      </c>
      <c r="Q78" s="93">
        <v>8.25</v>
      </c>
    </row>
    <row r="79" spans="1:17" x14ac:dyDescent="0.25">
      <c r="A79" s="52"/>
      <c r="B79" s="53" t="s">
        <v>61</v>
      </c>
      <c r="C79" s="54">
        <v>45713</v>
      </c>
      <c r="D79" s="92">
        <v>8.25</v>
      </c>
      <c r="E79" s="92">
        <v>8.25</v>
      </c>
      <c r="F79" s="92">
        <v>8.25</v>
      </c>
      <c r="G79" s="92">
        <v>8.25</v>
      </c>
      <c r="H79" s="77">
        <v>0</v>
      </c>
      <c r="I79" s="92">
        <v>8.25</v>
      </c>
      <c r="J79" s="92">
        <v>8.25</v>
      </c>
      <c r="K79" s="92">
        <v>8.25</v>
      </c>
      <c r="L79" s="92">
        <v>8.25</v>
      </c>
      <c r="M79" s="92">
        <v>8.25</v>
      </c>
      <c r="N79" s="92">
        <v>8.25</v>
      </c>
      <c r="O79" s="77">
        <v>0</v>
      </c>
      <c r="P79" s="92">
        <v>8.25</v>
      </c>
      <c r="Q79" s="93">
        <v>8.25</v>
      </c>
    </row>
    <row r="80" spans="1:17" x14ac:dyDescent="0.25">
      <c r="A80" s="52"/>
      <c r="B80" s="53" t="s">
        <v>55</v>
      </c>
      <c r="C80" s="54">
        <v>45714</v>
      </c>
      <c r="D80" s="92">
        <v>8.25</v>
      </c>
      <c r="E80" s="77">
        <v>0</v>
      </c>
      <c r="F80" s="92">
        <v>8.25</v>
      </c>
      <c r="G80" s="92">
        <v>8.25</v>
      </c>
      <c r="H80" s="77">
        <v>0</v>
      </c>
      <c r="I80" s="92">
        <v>8.25</v>
      </c>
      <c r="J80" s="92">
        <v>8.25</v>
      </c>
      <c r="K80" s="92">
        <v>8.25</v>
      </c>
      <c r="L80" s="92">
        <v>8.25</v>
      </c>
      <c r="M80" s="92">
        <v>8.25</v>
      </c>
      <c r="N80" s="92">
        <v>8.25</v>
      </c>
      <c r="O80" s="77">
        <v>0</v>
      </c>
      <c r="P80" s="92">
        <v>8.25</v>
      </c>
      <c r="Q80" s="93">
        <v>8.25</v>
      </c>
    </row>
    <row r="81" spans="1:18" x14ac:dyDescent="0.25">
      <c r="A81" s="52"/>
      <c r="B81" s="53" t="s">
        <v>56</v>
      </c>
      <c r="C81" s="54">
        <v>45715</v>
      </c>
      <c r="D81" s="92">
        <v>8.25</v>
      </c>
      <c r="E81" s="77">
        <v>0</v>
      </c>
      <c r="F81" s="92">
        <v>8.25</v>
      </c>
      <c r="G81" s="92">
        <v>8.25</v>
      </c>
      <c r="H81" s="77">
        <v>0</v>
      </c>
      <c r="I81" s="92">
        <v>8.25</v>
      </c>
      <c r="J81" s="92">
        <v>8.25</v>
      </c>
      <c r="K81" s="92">
        <v>8.25</v>
      </c>
      <c r="L81" s="92">
        <v>8.25</v>
      </c>
      <c r="M81" s="92">
        <v>8.25</v>
      </c>
      <c r="N81" s="92">
        <v>8.25</v>
      </c>
      <c r="O81" s="77">
        <v>0</v>
      </c>
      <c r="P81" s="92">
        <v>8.25</v>
      </c>
      <c r="Q81" s="93">
        <v>8.25</v>
      </c>
    </row>
    <row r="82" spans="1:18" ht="15.75" thickBot="1" x14ac:dyDescent="0.3">
      <c r="A82" s="52"/>
      <c r="B82" s="55" t="s">
        <v>57</v>
      </c>
      <c r="C82" s="56">
        <v>45716</v>
      </c>
      <c r="D82" s="94">
        <v>7</v>
      </c>
      <c r="E82" s="78">
        <v>0</v>
      </c>
      <c r="F82" s="78">
        <v>0</v>
      </c>
      <c r="G82" s="94">
        <v>7</v>
      </c>
      <c r="H82" s="78">
        <v>0</v>
      </c>
      <c r="I82" s="94">
        <v>7</v>
      </c>
      <c r="J82" s="94">
        <v>7</v>
      </c>
      <c r="K82" s="94">
        <v>7</v>
      </c>
      <c r="L82" s="94">
        <v>7</v>
      </c>
      <c r="M82" s="94">
        <v>7</v>
      </c>
      <c r="N82" s="94">
        <v>7</v>
      </c>
      <c r="O82" s="78">
        <v>0</v>
      </c>
      <c r="P82" s="94">
        <v>7</v>
      </c>
      <c r="Q82" s="95">
        <v>7</v>
      </c>
    </row>
    <row r="83" spans="1:18" x14ac:dyDescent="0.25">
      <c r="A83" s="49"/>
      <c r="B83" s="69" t="s">
        <v>58</v>
      </c>
      <c r="C83" s="70">
        <v>45717</v>
      </c>
      <c r="D83" s="71">
        <v>0</v>
      </c>
      <c r="E83" s="79">
        <v>0</v>
      </c>
      <c r="F83" s="79">
        <v>0</v>
      </c>
      <c r="G83" s="71">
        <v>0</v>
      </c>
      <c r="H83" s="71">
        <v>0</v>
      </c>
      <c r="I83" s="71">
        <v>0</v>
      </c>
      <c r="J83" s="71">
        <v>0</v>
      </c>
      <c r="K83" s="71">
        <v>0</v>
      </c>
      <c r="L83" s="71">
        <v>0</v>
      </c>
      <c r="M83" s="71">
        <v>0</v>
      </c>
      <c r="N83" s="71">
        <v>0</v>
      </c>
      <c r="O83" s="79">
        <v>0</v>
      </c>
      <c r="P83" s="71">
        <v>0</v>
      </c>
      <c r="Q83" s="72">
        <v>0</v>
      </c>
    </row>
    <row r="84" spans="1:18" x14ac:dyDescent="0.25">
      <c r="A84" s="49"/>
      <c r="B84" s="65" t="s">
        <v>59</v>
      </c>
      <c r="C84" s="66">
        <v>45718</v>
      </c>
      <c r="D84" s="67">
        <v>0</v>
      </c>
      <c r="E84" s="77">
        <v>0</v>
      </c>
      <c r="F84" s="77">
        <v>0</v>
      </c>
      <c r="G84" s="67">
        <v>0</v>
      </c>
      <c r="H84" s="67">
        <v>0</v>
      </c>
      <c r="I84" s="67">
        <v>0</v>
      </c>
      <c r="J84" s="67">
        <v>0</v>
      </c>
      <c r="K84" s="67">
        <v>0</v>
      </c>
      <c r="L84" s="67">
        <v>0</v>
      </c>
      <c r="M84" s="67">
        <v>0</v>
      </c>
      <c r="N84" s="67">
        <v>0</v>
      </c>
      <c r="O84" s="77">
        <v>0</v>
      </c>
      <c r="P84" s="67">
        <v>0</v>
      </c>
      <c r="Q84" s="68">
        <v>0</v>
      </c>
    </row>
    <row r="85" spans="1:18" x14ac:dyDescent="0.25">
      <c r="A85" s="52"/>
      <c r="B85" s="53" t="s">
        <v>60</v>
      </c>
      <c r="C85" s="54">
        <v>45719</v>
      </c>
      <c r="D85" s="92">
        <v>8.25</v>
      </c>
      <c r="E85" s="92">
        <v>8.25</v>
      </c>
      <c r="F85" s="77">
        <v>0</v>
      </c>
      <c r="G85" s="92">
        <v>8.25</v>
      </c>
      <c r="H85" s="92">
        <v>8.25</v>
      </c>
      <c r="I85" s="92">
        <v>8.25</v>
      </c>
      <c r="J85" s="92">
        <v>8.25</v>
      </c>
      <c r="K85" s="92">
        <v>8.25</v>
      </c>
      <c r="L85" s="92">
        <v>8.25</v>
      </c>
      <c r="M85" s="92">
        <v>8.25</v>
      </c>
      <c r="N85" s="92">
        <v>8.25</v>
      </c>
      <c r="O85" s="77">
        <v>0</v>
      </c>
      <c r="P85" s="92">
        <v>8.25</v>
      </c>
      <c r="Q85" s="93">
        <v>8.25</v>
      </c>
    </row>
    <row r="86" spans="1:18" x14ac:dyDescent="0.25">
      <c r="A86" s="52"/>
      <c r="B86" s="53" t="s">
        <v>61</v>
      </c>
      <c r="C86" s="54">
        <v>45720</v>
      </c>
      <c r="D86" s="92">
        <v>8.25</v>
      </c>
      <c r="E86" s="92">
        <v>8.25</v>
      </c>
      <c r="F86" s="77">
        <v>0</v>
      </c>
      <c r="G86" s="92">
        <v>8.25</v>
      </c>
      <c r="H86" s="92">
        <v>8.25</v>
      </c>
      <c r="I86" s="92">
        <v>8.25</v>
      </c>
      <c r="J86" s="92">
        <v>8.25</v>
      </c>
      <c r="K86" s="92">
        <v>8.25</v>
      </c>
      <c r="L86" s="92">
        <v>8.25</v>
      </c>
      <c r="M86" s="92">
        <v>8.25</v>
      </c>
      <c r="N86" s="92">
        <v>8.25</v>
      </c>
      <c r="O86" s="77">
        <v>0</v>
      </c>
      <c r="P86" s="92">
        <v>8.25</v>
      </c>
      <c r="Q86" s="93">
        <v>8.25</v>
      </c>
    </row>
    <row r="87" spans="1:18" x14ac:dyDescent="0.25">
      <c r="A87" s="52"/>
      <c r="B87" s="53" t="s">
        <v>55</v>
      </c>
      <c r="C87" s="54">
        <v>45721</v>
      </c>
      <c r="D87" s="77">
        <v>0</v>
      </c>
      <c r="E87" s="92">
        <v>8.25</v>
      </c>
      <c r="F87" s="92">
        <v>8.25</v>
      </c>
      <c r="G87" s="92">
        <v>8.25</v>
      </c>
      <c r="H87" s="92">
        <v>8.25</v>
      </c>
      <c r="I87" s="92">
        <v>8.25</v>
      </c>
      <c r="J87" s="92">
        <v>8.25</v>
      </c>
      <c r="K87" s="92">
        <v>8.25</v>
      </c>
      <c r="L87" s="92">
        <v>8.25</v>
      </c>
      <c r="M87" s="77">
        <v>0</v>
      </c>
      <c r="N87" s="92">
        <v>8.25</v>
      </c>
      <c r="O87" s="77">
        <v>0</v>
      </c>
      <c r="P87" s="92">
        <v>8.25</v>
      </c>
      <c r="Q87" s="93">
        <v>8.25</v>
      </c>
    </row>
    <row r="88" spans="1:18" x14ac:dyDescent="0.25">
      <c r="A88" s="52"/>
      <c r="B88" s="53" t="s">
        <v>56</v>
      </c>
      <c r="C88" s="54">
        <v>45722</v>
      </c>
      <c r="D88" s="77">
        <v>0</v>
      </c>
      <c r="E88" s="92">
        <v>8.25</v>
      </c>
      <c r="F88" s="92">
        <v>8.25</v>
      </c>
      <c r="G88" s="92">
        <v>8.25</v>
      </c>
      <c r="H88" s="92">
        <v>8.25</v>
      </c>
      <c r="I88" s="92">
        <v>8.25</v>
      </c>
      <c r="J88" s="92">
        <v>8.25</v>
      </c>
      <c r="K88" s="92">
        <v>8.25</v>
      </c>
      <c r="L88" s="92">
        <v>8.25</v>
      </c>
      <c r="M88" s="77">
        <v>0</v>
      </c>
      <c r="N88" s="92">
        <v>8.25</v>
      </c>
      <c r="O88" s="92">
        <v>8.25</v>
      </c>
      <c r="P88" s="92">
        <v>8.25</v>
      </c>
      <c r="Q88" s="93">
        <v>8.25</v>
      </c>
    </row>
    <row r="89" spans="1:18" x14ac:dyDescent="0.25">
      <c r="A89" s="52"/>
      <c r="B89" s="53" t="s">
        <v>57</v>
      </c>
      <c r="C89" s="54">
        <v>45723</v>
      </c>
      <c r="D89" s="77">
        <v>0</v>
      </c>
      <c r="E89" s="92">
        <v>6</v>
      </c>
      <c r="F89" s="92">
        <v>6</v>
      </c>
      <c r="G89" s="92">
        <v>6</v>
      </c>
      <c r="H89" s="92">
        <v>6</v>
      </c>
      <c r="I89" s="92">
        <v>6</v>
      </c>
      <c r="J89" s="92">
        <v>6</v>
      </c>
      <c r="K89" s="92">
        <v>6</v>
      </c>
      <c r="L89" s="92">
        <v>6</v>
      </c>
      <c r="M89" s="77">
        <v>0</v>
      </c>
      <c r="N89" s="92">
        <v>6</v>
      </c>
      <c r="O89" s="92">
        <v>6</v>
      </c>
      <c r="P89" s="92">
        <v>6</v>
      </c>
      <c r="Q89" s="93">
        <v>6</v>
      </c>
      <c r="R89" s="40"/>
    </row>
    <row r="90" spans="1:18" x14ac:dyDescent="0.25">
      <c r="A90" s="49"/>
      <c r="B90" s="65" t="s">
        <v>58</v>
      </c>
      <c r="C90" s="66">
        <v>45724</v>
      </c>
      <c r="D90" s="77">
        <v>0</v>
      </c>
      <c r="E90" s="67">
        <v>0</v>
      </c>
      <c r="F90" s="67">
        <v>0</v>
      </c>
      <c r="G90" s="67">
        <v>0</v>
      </c>
      <c r="H90" s="67">
        <v>0</v>
      </c>
      <c r="I90" s="77">
        <v>0</v>
      </c>
      <c r="J90" s="67">
        <v>0</v>
      </c>
      <c r="K90" s="77">
        <v>0</v>
      </c>
      <c r="L90" s="67">
        <v>0</v>
      </c>
      <c r="M90" s="77">
        <v>0</v>
      </c>
      <c r="N90" s="67">
        <v>0</v>
      </c>
      <c r="O90" s="67">
        <v>0</v>
      </c>
      <c r="P90" s="67">
        <v>0</v>
      </c>
      <c r="Q90" s="68">
        <v>0</v>
      </c>
    </row>
    <row r="91" spans="1:18" x14ac:dyDescent="0.25">
      <c r="A91" s="49"/>
      <c r="B91" s="65" t="s">
        <v>59</v>
      </c>
      <c r="C91" s="66">
        <v>45725</v>
      </c>
      <c r="D91" s="77">
        <v>0</v>
      </c>
      <c r="E91" s="67">
        <v>0</v>
      </c>
      <c r="F91" s="67">
        <v>0</v>
      </c>
      <c r="G91" s="67">
        <v>0</v>
      </c>
      <c r="H91" s="67">
        <v>0</v>
      </c>
      <c r="I91" s="77">
        <v>0</v>
      </c>
      <c r="J91" s="67">
        <v>0</v>
      </c>
      <c r="K91" s="77">
        <v>0</v>
      </c>
      <c r="L91" s="67">
        <v>0</v>
      </c>
      <c r="M91" s="77">
        <v>0</v>
      </c>
      <c r="N91" s="67">
        <v>0</v>
      </c>
      <c r="O91" s="67">
        <v>0</v>
      </c>
      <c r="P91" s="67">
        <v>0</v>
      </c>
      <c r="Q91" s="80">
        <v>0</v>
      </c>
    </row>
    <row r="92" spans="1:18" x14ac:dyDescent="0.25">
      <c r="A92" s="52"/>
      <c r="B92" s="53" t="s">
        <v>60</v>
      </c>
      <c r="C92" s="54">
        <v>45726</v>
      </c>
      <c r="D92" s="92">
        <v>8.25</v>
      </c>
      <c r="E92" s="92">
        <v>8.25</v>
      </c>
      <c r="F92" s="92">
        <v>8.25</v>
      </c>
      <c r="G92" s="92">
        <v>8.25</v>
      </c>
      <c r="H92" s="92">
        <v>8.25</v>
      </c>
      <c r="I92" s="77">
        <v>0</v>
      </c>
      <c r="J92" s="92">
        <v>8.25</v>
      </c>
      <c r="K92" s="77">
        <v>0</v>
      </c>
      <c r="L92" s="77">
        <v>0</v>
      </c>
      <c r="M92" s="92">
        <v>8.25</v>
      </c>
      <c r="N92" s="92">
        <v>8.25</v>
      </c>
      <c r="O92" s="92">
        <v>8.25</v>
      </c>
      <c r="P92" s="92">
        <v>8.25</v>
      </c>
      <c r="Q92" s="80">
        <v>0</v>
      </c>
    </row>
    <row r="93" spans="1:18" x14ac:dyDescent="0.25">
      <c r="A93" s="52"/>
      <c r="B93" s="53" t="s">
        <v>61</v>
      </c>
      <c r="C93" s="54">
        <v>45727</v>
      </c>
      <c r="D93" s="92">
        <v>8.25</v>
      </c>
      <c r="E93" s="92">
        <v>8.25</v>
      </c>
      <c r="F93" s="92">
        <v>8.25</v>
      </c>
      <c r="G93" s="92">
        <v>8.25</v>
      </c>
      <c r="H93" s="92">
        <v>8.25</v>
      </c>
      <c r="I93" s="77">
        <v>0</v>
      </c>
      <c r="J93" s="92">
        <v>8.25</v>
      </c>
      <c r="K93" s="77">
        <v>0</v>
      </c>
      <c r="L93" s="77">
        <v>0</v>
      </c>
      <c r="M93" s="92">
        <v>8.25</v>
      </c>
      <c r="N93" s="92">
        <v>8.25</v>
      </c>
      <c r="O93" s="92">
        <v>8.25</v>
      </c>
      <c r="P93" s="92">
        <v>8.25</v>
      </c>
      <c r="Q93" s="80">
        <v>0</v>
      </c>
    </row>
    <row r="94" spans="1:18" x14ac:dyDescent="0.25">
      <c r="A94" s="52"/>
      <c r="B94" s="53" t="s">
        <v>55</v>
      </c>
      <c r="C94" s="54">
        <v>45728</v>
      </c>
      <c r="D94" s="92">
        <v>8.25</v>
      </c>
      <c r="E94" s="92">
        <v>8.25</v>
      </c>
      <c r="F94" s="92">
        <v>8.25</v>
      </c>
      <c r="G94" s="92">
        <v>8.25</v>
      </c>
      <c r="H94" s="92">
        <v>8.25</v>
      </c>
      <c r="I94" s="77">
        <v>0</v>
      </c>
      <c r="J94" s="92">
        <v>8.25</v>
      </c>
      <c r="K94" s="77">
        <v>0</v>
      </c>
      <c r="L94" s="77">
        <v>0</v>
      </c>
      <c r="M94" s="92">
        <v>8.25</v>
      </c>
      <c r="N94" s="92">
        <v>8.25</v>
      </c>
      <c r="O94" s="92">
        <v>8.25</v>
      </c>
      <c r="P94" s="77">
        <v>0</v>
      </c>
      <c r="Q94" s="80">
        <v>0</v>
      </c>
    </row>
    <row r="95" spans="1:18" x14ac:dyDescent="0.25">
      <c r="A95" s="52"/>
      <c r="B95" s="53" t="s">
        <v>56</v>
      </c>
      <c r="C95" s="54">
        <v>45729</v>
      </c>
      <c r="D95" s="92">
        <v>8.25</v>
      </c>
      <c r="E95" s="92">
        <v>8.25</v>
      </c>
      <c r="F95" s="92">
        <v>8.25</v>
      </c>
      <c r="G95" s="92">
        <v>8.25</v>
      </c>
      <c r="H95" s="92">
        <v>8.25</v>
      </c>
      <c r="I95" s="92">
        <v>8.25</v>
      </c>
      <c r="J95" s="92">
        <v>8.25</v>
      </c>
      <c r="K95" s="77">
        <v>0</v>
      </c>
      <c r="L95" s="77">
        <v>0</v>
      </c>
      <c r="M95" s="92">
        <v>8.25</v>
      </c>
      <c r="N95" s="92">
        <v>8.25</v>
      </c>
      <c r="O95" s="92">
        <v>8.25</v>
      </c>
      <c r="P95" s="77">
        <v>0</v>
      </c>
      <c r="Q95" s="93">
        <v>8.25</v>
      </c>
    </row>
    <row r="96" spans="1:18" x14ac:dyDescent="0.25">
      <c r="A96" s="52"/>
      <c r="B96" s="53" t="s">
        <v>57</v>
      </c>
      <c r="C96" s="54">
        <v>45730</v>
      </c>
      <c r="D96" s="92">
        <v>7</v>
      </c>
      <c r="E96" s="92">
        <v>7</v>
      </c>
      <c r="F96" s="92">
        <v>7</v>
      </c>
      <c r="G96" s="92">
        <v>7</v>
      </c>
      <c r="H96" s="92">
        <v>7</v>
      </c>
      <c r="I96" s="92">
        <v>7</v>
      </c>
      <c r="J96" s="92">
        <v>7</v>
      </c>
      <c r="K96" s="77">
        <v>0</v>
      </c>
      <c r="L96" s="77">
        <v>0</v>
      </c>
      <c r="M96" s="92">
        <v>7</v>
      </c>
      <c r="N96" s="92">
        <v>7</v>
      </c>
      <c r="O96" s="92">
        <v>7</v>
      </c>
      <c r="P96" s="77">
        <v>0</v>
      </c>
      <c r="Q96" s="93">
        <v>7</v>
      </c>
    </row>
    <row r="97" spans="1:17" x14ac:dyDescent="0.25">
      <c r="A97" s="49"/>
      <c r="B97" s="65" t="s">
        <v>58</v>
      </c>
      <c r="C97" s="66">
        <v>45731</v>
      </c>
      <c r="D97" s="67">
        <v>0</v>
      </c>
      <c r="E97" s="67">
        <v>0</v>
      </c>
      <c r="F97" s="67">
        <v>0</v>
      </c>
      <c r="G97" s="67">
        <v>0</v>
      </c>
      <c r="H97" s="67">
        <v>0</v>
      </c>
      <c r="I97" s="67">
        <v>0</v>
      </c>
      <c r="J97" s="67">
        <v>0</v>
      </c>
      <c r="K97" s="77">
        <v>0</v>
      </c>
      <c r="L97" s="77">
        <v>0</v>
      </c>
      <c r="M97" s="67">
        <v>0</v>
      </c>
      <c r="N97" s="67">
        <v>0</v>
      </c>
      <c r="O97" s="67">
        <v>0</v>
      </c>
      <c r="P97" s="77">
        <v>0</v>
      </c>
      <c r="Q97" s="68">
        <v>0</v>
      </c>
    </row>
    <row r="98" spans="1:17" x14ac:dyDescent="0.25">
      <c r="A98" s="49"/>
      <c r="B98" s="65" t="s">
        <v>59</v>
      </c>
      <c r="C98" s="66">
        <v>45732</v>
      </c>
      <c r="D98" s="67">
        <v>0</v>
      </c>
      <c r="E98" s="67">
        <v>0</v>
      </c>
      <c r="F98" s="67">
        <v>0</v>
      </c>
      <c r="G98" s="67">
        <v>0</v>
      </c>
      <c r="H98" s="67">
        <v>0</v>
      </c>
      <c r="I98" s="67">
        <v>0</v>
      </c>
      <c r="J98" s="67">
        <v>0</v>
      </c>
      <c r="K98" s="77">
        <v>0</v>
      </c>
      <c r="L98" s="77">
        <v>0</v>
      </c>
      <c r="M98" s="67">
        <v>0</v>
      </c>
      <c r="N98" s="67">
        <v>0</v>
      </c>
      <c r="O98" s="67">
        <v>0</v>
      </c>
      <c r="P98" s="77">
        <v>0</v>
      </c>
      <c r="Q98" s="68">
        <v>0</v>
      </c>
    </row>
    <row r="99" spans="1:17" x14ac:dyDescent="0.25">
      <c r="A99" s="52"/>
      <c r="B99" s="53" t="s">
        <v>60</v>
      </c>
      <c r="C99" s="54">
        <v>45733</v>
      </c>
      <c r="D99" s="92">
        <v>8.25</v>
      </c>
      <c r="E99" s="92">
        <v>8.25</v>
      </c>
      <c r="F99" s="92">
        <v>8.25</v>
      </c>
      <c r="G99" s="92">
        <v>8.25</v>
      </c>
      <c r="H99" s="92">
        <v>8.25</v>
      </c>
      <c r="I99" s="92">
        <v>8.25</v>
      </c>
      <c r="J99" s="92">
        <v>8.25</v>
      </c>
      <c r="K99" s="77">
        <v>0</v>
      </c>
      <c r="L99" s="77">
        <v>0</v>
      </c>
      <c r="M99" s="92">
        <v>8.25</v>
      </c>
      <c r="N99" s="92">
        <v>8.25</v>
      </c>
      <c r="O99" s="92">
        <v>8.25</v>
      </c>
      <c r="P99" s="92">
        <v>8.25</v>
      </c>
      <c r="Q99" s="93">
        <v>8.25</v>
      </c>
    </row>
    <row r="100" spans="1:17" x14ac:dyDescent="0.25">
      <c r="A100" s="52"/>
      <c r="B100" s="53" t="s">
        <v>61</v>
      </c>
      <c r="C100" s="54">
        <v>45734</v>
      </c>
      <c r="D100" s="92">
        <v>8.25</v>
      </c>
      <c r="E100" s="92">
        <v>8.25</v>
      </c>
      <c r="F100" s="92">
        <v>8.25</v>
      </c>
      <c r="G100" s="92">
        <v>8.25</v>
      </c>
      <c r="H100" s="92">
        <v>8.25</v>
      </c>
      <c r="I100" s="92">
        <v>8.25</v>
      </c>
      <c r="J100" s="92">
        <v>8.25</v>
      </c>
      <c r="K100" s="77">
        <v>0</v>
      </c>
      <c r="L100" s="77">
        <v>0</v>
      </c>
      <c r="M100" s="92">
        <v>8.25</v>
      </c>
      <c r="N100" s="92">
        <v>8.25</v>
      </c>
      <c r="O100" s="92">
        <v>8.25</v>
      </c>
      <c r="P100" s="92">
        <v>8.25</v>
      </c>
      <c r="Q100" s="93">
        <v>8.25</v>
      </c>
    </row>
    <row r="101" spans="1:17" x14ac:dyDescent="0.25">
      <c r="A101" s="52"/>
      <c r="B101" s="53" t="s">
        <v>55</v>
      </c>
      <c r="C101" s="54">
        <v>45735</v>
      </c>
      <c r="D101" s="92">
        <v>8.25</v>
      </c>
      <c r="E101" s="92">
        <v>8.25</v>
      </c>
      <c r="F101" s="92">
        <v>8.25</v>
      </c>
      <c r="G101" s="92">
        <v>8.25</v>
      </c>
      <c r="H101" s="92">
        <v>8.25</v>
      </c>
      <c r="I101" s="92">
        <v>8.25</v>
      </c>
      <c r="J101" s="92">
        <v>8.25</v>
      </c>
      <c r="K101" s="77">
        <v>0</v>
      </c>
      <c r="L101" s="77">
        <v>0</v>
      </c>
      <c r="M101" s="92">
        <v>8.25</v>
      </c>
      <c r="N101" s="92">
        <v>8.25</v>
      </c>
      <c r="O101" s="92">
        <v>8.25</v>
      </c>
      <c r="P101" s="92">
        <v>8.25</v>
      </c>
      <c r="Q101" s="93">
        <v>8.25</v>
      </c>
    </row>
    <row r="102" spans="1:17" x14ac:dyDescent="0.25">
      <c r="A102" s="52"/>
      <c r="B102" s="53" t="s">
        <v>56</v>
      </c>
      <c r="C102" s="54">
        <v>45736</v>
      </c>
      <c r="D102" s="92">
        <v>8.25</v>
      </c>
      <c r="E102" s="92">
        <v>8.25</v>
      </c>
      <c r="F102" s="92">
        <v>8.25</v>
      </c>
      <c r="G102" s="92">
        <v>8.25</v>
      </c>
      <c r="H102" s="92">
        <v>8.25</v>
      </c>
      <c r="I102" s="92">
        <v>8.25</v>
      </c>
      <c r="J102" s="92">
        <v>8.25</v>
      </c>
      <c r="K102" s="77">
        <v>0</v>
      </c>
      <c r="L102" s="77">
        <v>0</v>
      </c>
      <c r="M102" s="92">
        <v>8.25</v>
      </c>
      <c r="N102" s="92">
        <v>8.25</v>
      </c>
      <c r="O102" s="92">
        <v>8.25</v>
      </c>
      <c r="P102" s="92">
        <v>8.25</v>
      </c>
      <c r="Q102" s="93">
        <v>8.25</v>
      </c>
    </row>
    <row r="103" spans="1:17" x14ac:dyDescent="0.25">
      <c r="A103" s="52"/>
      <c r="B103" s="53" t="s">
        <v>57</v>
      </c>
      <c r="C103" s="54">
        <v>45737</v>
      </c>
      <c r="D103" s="92">
        <v>7</v>
      </c>
      <c r="E103" s="92">
        <v>7</v>
      </c>
      <c r="F103" s="92">
        <v>7</v>
      </c>
      <c r="G103" s="92">
        <v>7</v>
      </c>
      <c r="H103" s="92">
        <v>7</v>
      </c>
      <c r="I103" s="92">
        <v>7</v>
      </c>
      <c r="J103" s="92">
        <v>7</v>
      </c>
      <c r="K103" s="77">
        <v>0</v>
      </c>
      <c r="L103" s="77">
        <v>0</v>
      </c>
      <c r="M103" s="92">
        <v>7</v>
      </c>
      <c r="N103" s="92">
        <v>7</v>
      </c>
      <c r="O103" s="92">
        <v>7</v>
      </c>
      <c r="P103" s="92">
        <v>7</v>
      </c>
      <c r="Q103" s="93">
        <v>7</v>
      </c>
    </row>
    <row r="104" spans="1:17" x14ac:dyDescent="0.25">
      <c r="A104" s="49"/>
      <c r="B104" s="65" t="s">
        <v>58</v>
      </c>
      <c r="C104" s="66">
        <v>45738</v>
      </c>
      <c r="D104" s="67">
        <v>0</v>
      </c>
      <c r="E104" s="67">
        <v>0</v>
      </c>
      <c r="F104" s="67">
        <v>0</v>
      </c>
      <c r="G104" s="67">
        <v>0</v>
      </c>
      <c r="H104" s="67">
        <v>0</v>
      </c>
      <c r="I104" s="67">
        <v>0</v>
      </c>
      <c r="J104" s="67">
        <v>0</v>
      </c>
      <c r="K104" s="67">
        <v>0</v>
      </c>
      <c r="L104" s="77">
        <v>0</v>
      </c>
      <c r="M104" s="67">
        <v>0</v>
      </c>
      <c r="N104" s="67">
        <v>0</v>
      </c>
      <c r="O104" s="67">
        <v>0</v>
      </c>
      <c r="P104" s="67">
        <v>0</v>
      </c>
      <c r="Q104" s="68">
        <v>0</v>
      </c>
    </row>
    <row r="105" spans="1:17" x14ac:dyDescent="0.25">
      <c r="A105" s="49"/>
      <c r="B105" s="65" t="s">
        <v>59</v>
      </c>
      <c r="C105" s="66">
        <v>45739</v>
      </c>
      <c r="D105" s="67">
        <v>0</v>
      </c>
      <c r="E105" s="67">
        <v>0</v>
      </c>
      <c r="F105" s="67">
        <v>0</v>
      </c>
      <c r="G105" s="67">
        <v>0</v>
      </c>
      <c r="H105" s="67">
        <v>0</v>
      </c>
      <c r="I105" s="67">
        <v>0</v>
      </c>
      <c r="J105" s="67">
        <v>0</v>
      </c>
      <c r="K105" s="67">
        <v>0</v>
      </c>
      <c r="L105" s="77">
        <v>0</v>
      </c>
      <c r="M105" s="67">
        <v>0</v>
      </c>
      <c r="N105" s="67">
        <v>0</v>
      </c>
      <c r="O105" s="67">
        <v>0</v>
      </c>
      <c r="P105" s="67">
        <v>0</v>
      </c>
      <c r="Q105" s="68">
        <v>0</v>
      </c>
    </row>
    <row r="106" spans="1:17" x14ac:dyDescent="0.25">
      <c r="A106" s="52"/>
      <c r="B106" s="53" t="s">
        <v>60</v>
      </c>
      <c r="C106" s="54">
        <v>45740</v>
      </c>
      <c r="D106" s="92">
        <v>8.25</v>
      </c>
      <c r="E106" s="92">
        <v>8.25</v>
      </c>
      <c r="F106" s="92">
        <v>8.25</v>
      </c>
      <c r="G106" s="92">
        <v>8.25</v>
      </c>
      <c r="H106" s="92">
        <v>8.25</v>
      </c>
      <c r="I106" s="92">
        <v>8.25</v>
      </c>
      <c r="J106" s="92">
        <v>8.25</v>
      </c>
      <c r="K106" s="92">
        <v>8.25</v>
      </c>
      <c r="L106" s="92">
        <v>8.25</v>
      </c>
      <c r="M106" s="92">
        <v>8.25</v>
      </c>
      <c r="N106" s="92">
        <v>8.25</v>
      </c>
      <c r="O106" s="92">
        <v>8.25</v>
      </c>
      <c r="P106" s="92">
        <v>8.25</v>
      </c>
      <c r="Q106" s="93">
        <v>8.25</v>
      </c>
    </row>
    <row r="107" spans="1:17" x14ac:dyDescent="0.25">
      <c r="A107" s="52"/>
      <c r="B107" s="53" t="s">
        <v>61</v>
      </c>
      <c r="C107" s="54">
        <v>45741</v>
      </c>
      <c r="D107" s="92">
        <v>8.25</v>
      </c>
      <c r="E107" s="92">
        <v>8.25</v>
      </c>
      <c r="F107" s="92">
        <v>8.25</v>
      </c>
      <c r="G107" s="92">
        <v>8.25</v>
      </c>
      <c r="H107" s="92">
        <v>8.25</v>
      </c>
      <c r="I107" s="92">
        <v>8.25</v>
      </c>
      <c r="J107" s="92">
        <v>8.25</v>
      </c>
      <c r="K107" s="92">
        <v>8.25</v>
      </c>
      <c r="L107" s="92">
        <v>8.25</v>
      </c>
      <c r="M107" s="92">
        <v>8.25</v>
      </c>
      <c r="N107" s="92">
        <v>8.25</v>
      </c>
      <c r="O107" s="92">
        <v>8.25</v>
      </c>
      <c r="P107" s="92">
        <v>8.25</v>
      </c>
      <c r="Q107" s="93">
        <v>8.25</v>
      </c>
    </row>
    <row r="108" spans="1:17" x14ac:dyDescent="0.25">
      <c r="A108" s="52"/>
      <c r="B108" s="53" t="s">
        <v>55</v>
      </c>
      <c r="C108" s="54">
        <v>45742</v>
      </c>
      <c r="D108" s="92">
        <v>8.25</v>
      </c>
      <c r="E108" s="92">
        <v>8.25</v>
      </c>
      <c r="F108" s="92">
        <v>8.25</v>
      </c>
      <c r="G108" s="92">
        <v>8.25</v>
      </c>
      <c r="H108" s="92">
        <v>8.25</v>
      </c>
      <c r="I108" s="92">
        <v>8.25</v>
      </c>
      <c r="J108" s="92">
        <v>8.25</v>
      </c>
      <c r="K108" s="92">
        <v>8.25</v>
      </c>
      <c r="L108" s="92">
        <v>8.25</v>
      </c>
      <c r="M108" s="92">
        <v>8.25</v>
      </c>
      <c r="N108" s="92">
        <v>8.25</v>
      </c>
      <c r="O108" s="92">
        <v>8.25</v>
      </c>
      <c r="P108" s="92">
        <v>8.25</v>
      </c>
      <c r="Q108" s="93">
        <v>8.25</v>
      </c>
    </row>
    <row r="109" spans="1:17" x14ac:dyDescent="0.25">
      <c r="A109" s="52"/>
      <c r="B109" s="53" t="s">
        <v>56</v>
      </c>
      <c r="C109" s="54">
        <v>45743</v>
      </c>
      <c r="D109" s="92">
        <v>8.25</v>
      </c>
      <c r="E109" s="92">
        <v>8.25</v>
      </c>
      <c r="F109" s="92">
        <v>8.25</v>
      </c>
      <c r="G109" s="92">
        <v>8.25</v>
      </c>
      <c r="H109" s="92">
        <v>8.25</v>
      </c>
      <c r="I109" s="92">
        <v>8.25</v>
      </c>
      <c r="J109" s="92">
        <v>8.25</v>
      </c>
      <c r="K109" s="92">
        <v>8.25</v>
      </c>
      <c r="L109" s="92">
        <v>8.25</v>
      </c>
      <c r="M109" s="92">
        <v>8.25</v>
      </c>
      <c r="N109" s="92">
        <v>8.25</v>
      </c>
      <c r="O109" s="92">
        <v>8.25</v>
      </c>
      <c r="P109" s="92">
        <v>8.25</v>
      </c>
      <c r="Q109" s="93">
        <v>8.25</v>
      </c>
    </row>
    <row r="110" spans="1:17" x14ac:dyDescent="0.25">
      <c r="A110" s="52"/>
      <c r="B110" s="53" t="s">
        <v>57</v>
      </c>
      <c r="C110" s="54">
        <v>45744</v>
      </c>
      <c r="D110" s="92">
        <v>7</v>
      </c>
      <c r="E110" s="92">
        <v>7</v>
      </c>
      <c r="F110" s="92">
        <v>7</v>
      </c>
      <c r="G110" s="92">
        <v>7</v>
      </c>
      <c r="H110" s="92">
        <v>7</v>
      </c>
      <c r="I110" s="92">
        <v>7</v>
      </c>
      <c r="J110" s="92">
        <v>7</v>
      </c>
      <c r="K110" s="92">
        <v>7</v>
      </c>
      <c r="L110" s="92">
        <v>7</v>
      </c>
      <c r="M110" s="92">
        <v>7</v>
      </c>
      <c r="N110" s="92">
        <v>7</v>
      </c>
      <c r="O110" s="92">
        <v>7</v>
      </c>
      <c r="P110" s="92">
        <v>7</v>
      </c>
      <c r="Q110" s="93">
        <v>7</v>
      </c>
    </row>
    <row r="111" spans="1:17" x14ac:dyDescent="0.25">
      <c r="A111" s="49"/>
      <c r="B111" s="65" t="s">
        <v>58</v>
      </c>
      <c r="C111" s="66">
        <v>45745</v>
      </c>
      <c r="D111" s="67">
        <v>0</v>
      </c>
      <c r="E111" s="67">
        <v>0</v>
      </c>
      <c r="F111" s="67">
        <v>0</v>
      </c>
      <c r="G111" s="67">
        <v>0</v>
      </c>
      <c r="H111" s="67">
        <v>0</v>
      </c>
      <c r="I111" s="67">
        <v>0</v>
      </c>
      <c r="J111" s="67">
        <v>0</v>
      </c>
      <c r="K111" s="67">
        <v>0</v>
      </c>
      <c r="L111" s="67">
        <v>0</v>
      </c>
      <c r="M111" s="67">
        <v>0</v>
      </c>
      <c r="N111" s="67">
        <v>0</v>
      </c>
      <c r="O111" s="67">
        <v>0</v>
      </c>
      <c r="P111" s="67">
        <v>0</v>
      </c>
      <c r="Q111" s="68">
        <v>0</v>
      </c>
    </row>
    <row r="112" spans="1:17" x14ac:dyDescent="0.25">
      <c r="A112" s="49"/>
      <c r="B112" s="65" t="s">
        <v>59</v>
      </c>
      <c r="C112" s="66">
        <v>45746</v>
      </c>
      <c r="D112" s="67">
        <v>0</v>
      </c>
      <c r="E112" s="67">
        <v>0</v>
      </c>
      <c r="F112" s="67">
        <v>0</v>
      </c>
      <c r="G112" s="67">
        <v>0</v>
      </c>
      <c r="H112" s="67">
        <v>0</v>
      </c>
      <c r="I112" s="67">
        <v>0</v>
      </c>
      <c r="J112" s="67">
        <v>0</v>
      </c>
      <c r="K112" s="67">
        <v>0</v>
      </c>
      <c r="L112" s="67">
        <v>0</v>
      </c>
      <c r="M112" s="67">
        <v>0</v>
      </c>
      <c r="N112" s="67">
        <v>0</v>
      </c>
      <c r="O112" s="67">
        <v>0</v>
      </c>
      <c r="P112" s="67">
        <v>0</v>
      </c>
      <c r="Q112" s="68">
        <v>0</v>
      </c>
    </row>
    <row r="113" spans="1:17" ht="15.75" thickBot="1" x14ac:dyDescent="0.3">
      <c r="A113" s="52"/>
      <c r="B113" s="55" t="s">
        <v>60</v>
      </c>
      <c r="C113" s="56">
        <v>45747</v>
      </c>
      <c r="D113" s="94">
        <v>8.25</v>
      </c>
      <c r="E113" s="94">
        <v>8.25</v>
      </c>
      <c r="F113" s="94">
        <v>8.25</v>
      </c>
      <c r="G113" s="94">
        <v>8.25</v>
      </c>
      <c r="H113" s="94">
        <v>8.25</v>
      </c>
      <c r="I113" s="94">
        <v>8.25</v>
      </c>
      <c r="J113" s="94">
        <v>8.25</v>
      </c>
      <c r="K113" s="94">
        <v>8.25</v>
      </c>
      <c r="L113" s="94">
        <v>8.25</v>
      </c>
      <c r="M113" s="94">
        <v>8.25</v>
      </c>
      <c r="N113" s="94">
        <v>8.25</v>
      </c>
      <c r="O113" s="94">
        <v>8.25</v>
      </c>
      <c r="P113" s="94">
        <v>8.25</v>
      </c>
      <c r="Q113" s="95">
        <v>8.25</v>
      </c>
    </row>
    <row r="114" spans="1:17" x14ac:dyDescent="0.25">
      <c r="A114" s="52"/>
      <c r="B114" s="57" t="s">
        <v>61</v>
      </c>
      <c r="C114" s="58">
        <v>45748</v>
      </c>
      <c r="D114" s="90">
        <v>8.25</v>
      </c>
      <c r="E114" s="90">
        <v>8.25</v>
      </c>
      <c r="F114" s="90">
        <v>8.25</v>
      </c>
      <c r="G114" s="90">
        <v>8.25</v>
      </c>
      <c r="H114" s="90">
        <v>8.25</v>
      </c>
      <c r="I114" s="90">
        <v>8.25</v>
      </c>
      <c r="J114" s="90">
        <v>8.25</v>
      </c>
      <c r="K114" s="90">
        <v>8.25</v>
      </c>
      <c r="L114" s="90">
        <v>8.25</v>
      </c>
      <c r="M114" s="90">
        <v>8.25</v>
      </c>
      <c r="N114" s="90">
        <v>8.25</v>
      </c>
      <c r="O114" s="90">
        <v>8.25</v>
      </c>
      <c r="P114" s="90">
        <v>8.25</v>
      </c>
      <c r="Q114" s="91">
        <v>8.25</v>
      </c>
    </row>
    <row r="115" spans="1:17" x14ac:dyDescent="0.25">
      <c r="A115" s="52"/>
      <c r="B115" s="53" t="s">
        <v>55</v>
      </c>
      <c r="C115" s="54">
        <v>45749</v>
      </c>
      <c r="D115" s="92">
        <v>8.25</v>
      </c>
      <c r="E115" s="92">
        <v>8.25</v>
      </c>
      <c r="F115" s="92">
        <v>8.25</v>
      </c>
      <c r="G115" s="92">
        <v>8.25</v>
      </c>
      <c r="H115" s="92">
        <v>8.25</v>
      </c>
      <c r="I115" s="92">
        <v>8.25</v>
      </c>
      <c r="J115" s="92">
        <v>8.25</v>
      </c>
      <c r="K115" s="92">
        <v>8.25</v>
      </c>
      <c r="L115" s="92">
        <v>8.25</v>
      </c>
      <c r="M115" s="92">
        <v>8.25</v>
      </c>
      <c r="N115" s="92">
        <v>8.25</v>
      </c>
      <c r="O115" s="92">
        <v>8.25</v>
      </c>
      <c r="P115" s="92">
        <v>8.25</v>
      </c>
      <c r="Q115" s="93">
        <v>8.25</v>
      </c>
    </row>
    <row r="116" spans="1:17" x14ac:dyDescent="0.25">
      <c r="A116" s="52"/>
      <c r="B116" s="53" t="s">
        <v>56</v>
      </c>
      <c r="C116" s="54">
        <v>45750</v>
      </c>
      <c r="D116" s="92">
        <v>8.25</v>
      </c>
      <c r="E116" s="92">
        <v>8.25</v>
      </c>
      <c r="F116" s="92">
        <v>8.25</v>
      </c>
      <c r="G116" s="92">
        <v>8.25</v>
      </c>
      <c r="H116" s="92">
        <v>8.25</v>
      </c>
      <c r="I116" s="92">
        <v>8.25</v>
      </c>
      <c r="J116" s="92">
        <v>8.25</v>
      </c>
      <c r="K116" s="92">
        <v>8.25</v>
      </c>
      <c r="L116" s="92">
        <v>8.25</v>
      </c>
      <c r="M116" s="92">
        <v>8.25</v>
      </c>
      <c r="N116" s="92">
        <v>8.25</v>
      </c>
      <c r="O116" s="92">
        <v>8.25</v>
      </c>
      <c r="P116" s="92">
        <v>8.25</v>
      </c>
      <c r="Q116" s="93">
        <v>8.25</v>
      </c>
    </row>
    <row r="117" spans="1:17" x14ac:dyDescent="0.25">
      <c r="A117" s="52"/>
      <c r="B117" s="53" t="s">
        <v>57</v>
      </c>
      <c r="C117" s="54">
        <v>45751</v>
      </c>
      <c r="D117" s="92">
        <v>7</v>
      </c>
      <c r="E117" s="92">
        <v>7</v>
      </c>
      <c r="F117" s="92">
        <v>7</v>
      </c>
      <c r="G117" s="92">
        <v>7</v>
      </c>
      <c r="H117" s="92">
        <v>7</v>
      </c>
      <c r="I117" s="92">
        <v>7</v>
      </c>
      <c r="J117" s="92">
        <v>7</v>
      </c>
      <c r="K117" s="92">
        <v>7</v>
      </c>
      <c r="L117" s="92">
        <v>7</v>
      </c>
      <c r="M117" s="92">
        <v>7</v>
      </c>
      <c r="N117" s="92">
        <v>7</v>
      </c>
      <c r="O117" s="92">
        <v>7</v>
      </c>
      <c r="P117" s="92">
        <v>7</v>
      </c>
      <c r="Q117" s="93">
        <v>7</v>
      </c>
    </row>
    <row r="118" spans="1:17" x14ac:dyDescent="0.25">
      <c r="A118" s="49"/>
      <c r="B118" s="65" t="s">
        <v>58</v>
      </c>
      <c r="C118" s="66">
        <v>45752</v>
      </c>
      <c r="D118" s="67">
        <v>0</v>
      </c>
      <c r="E118" s="67">
        <v>0</v>
      </c>
      <c r="F118" s="67">
        <v>0</v>
      </c>
      <c r="G118" s="67">
        <v>0</v>
      </c>
      <c r="H118" s="67">
        <v>0</v>
      </c>
      <c r="I118" s="67">
        <v>0</v>
      </c>
      <c r="J118" s="67">
        <v>0</v>
      </c>
      <c r="K118" s="67">
        <v>0</v>
      </c>
      <c r="L118" s="67">
        <v>0</v>
      </c>
      <c r="M118" s="67">
        <v>0</v>
      </c>
      <c r="N118" s="67">
        <v>0</v>
      </c>
      <c r="O118" s="67">
        <v>0</v>
      </c>
      <c r="P118" s="67">
        <v>0</v>
      </c>
      <c r="Q118" s="68">
        <v>0</v>
      </c>
    </row>
    <row r="119" spans="1:17" x14ac:dyDescent="0.25">
      <c r="A119" s="49"/>
      <c r="B119" s="65" t="s">
        <v>59</v>
      </c>
      <c r="C119" s="66">
        <v>45753</v>
      </c>
      <c r="D119" s="67">
        <v>0</v>
      </c>
      <c r="E119" s="67">
        <v>0</v>
      </c>
      <c r="F119" s="67">
        <v>0</v>
      </c>
      <c r="G119" s="77">
        <v>0</v>
      </c>
      <c r="H119" s="67">
        <v>0</v>
      </c>
      <c r="I119" s="67">
        <v>0</v>
      </c>
      <c r="J119" s="67">
        <v>0</v>
      </c>
      <c r="K119" s="67">
        <v>0</v>
      </c>
      <c r="L119" s="77">
        <v>0</v>
      </c>
      <c r="M119" s="67">
        <v>0</v>
      </c>
      <c r="N119" s="67">
        <v>0</v>
      </c>
      <c r="O119" s="67">
        <v>0</v>
      </c>
      <c r="P119" s="67">
        <v>0</v>
      </c>
      <c r="Q119" s="68">
        <v>0</v>
      </c>
    </row>
    <row r="120" spans="1:17" x14ac:dyDescent="0.25">
      <c r="A120" s="52"/>
      <c r="B120" s="53" t="s">
        <v>60</v>
      </c>
      <c r="C120" s="54">
        <v>45754</v>
      </c>
      <c r="D120" s="92">
        <v>8.25</v>
      </c>
      <c r="E120" s="92">
        <v>8.25</v>
      </c>
      <c r="F120" s="92">
        <v>8.25</v>
      </c>
      <c r="G120" s="77">
        <v>0</v>
      </c>
      <c r="H120" s="92">
        <v>8.25</v>
      </c>
      <c r="I120" s="92">
        <v>8.25</v>
      </c>
      <c r="J120" s="92">
        <v>8.25</v>
      </c>
      <c r="K120" s="92">
        <v>8.25</v>
      </c>
      <c r="L120" s="77">
        <v>0</v>
      </c>
      <c r="M120" s="92">
        <v>8.25</v>
      </c>
      <c r="N120" s="92">
        <v>8.25</v>
      </c>
      <c r="O120" s="92">
        <v>8.25</v>
      </c>
      <c r="P120" s="92">
        <v>8.25</v>
      </c>
      <c r="Q120" s="93">
        <v>8.25</v>
      </c>
    </row>
    <row r="121" spans="1:17" x14ac:dyDescent="0.25">
      <c r="A121" s="52"/>
      <c r="B121" s="53" t="s">
        <v>61</v>
      </c>
      <c r="C121" s="54">
        <v>45755</v>
      </c>
      <c r="D121" s="92">
        <v>8.25</v>
      </c>
      <c r="E121" s="92">
        <v>8.25</v>
      </c>
      <c r="F121" s="92">
        <v>8.25</v>
      </c>
      <c r="G121" s="77">
        <v>0</v>
      </c>
      <c r="H121" s="92">
        <v>8.25</v>
      </c>
      <c r="I121" s="92">
        <v>8.25</v>
      </c>
      <c r="J121" s="92">
        <v>8.25</v>
      </c>
      <c r="K121" s="92">
        <v>8.25</v>
      </c>
      <c r="L121" s="77">
        <v>0</v>
      </c>
      <c r="M121" s="92">
        <v>8.25</v>
      </c>
      <c r="N121" s="92">
        <v>8.25</v>
      </c>
      <c r="O121" s="92">
        <v>8.25</v>
      </c>
      <c r="P121" s="92">
        <v>8.25</v>
      </c>
      <c r="Q121" s="93">
        <v>8.25</v>
      </c>
    </row>
    <row r="122" spans="1:17" x14ac:dyDescent="0.25">
      <c r="A122" s="52"/>
      <c r="B122" s="53" t="s">
        <v>55</v>
      </c>
      <c r="C122" s="54">
        <v>45756</v>
      </c>
      <c r="D122" s="92">
        <v>8.25</v>
      </c>
      <c r="E122" s="92">
        <v>8.25</v>
      </c>
      <c r="F122" s="92">
        <v>8.25</v>
      </c>
      <c r="G122" s="77">
        <v>0</v>
      </c>
      <c r="H122" s="92">
        <v>8.25</v>
      </c>
      <c r="I122" s="92">
        <v>8.25</v>
      </c>
      <c r="J122" s="92">
        <v>8.25</v>
      </c>
      <c r="K122" s="92">
        <v>8.25</v>
      </c>
      <c r="L122" s="77">
        <v>0</v>
      </c>
      <c r="M122" s="92">
        <v>8.25</v>
      </c>
      <c r="N122" s="92">
        <v>8.25</v>
      </c>
      <c r="O122" s="92">
        <v>8.25</v>
      </c>
      <c r="P122" s="92">
        <v>8.25</v>
      </c>
      <c r="Q122" s="93">
        <v>8.25</v>
      </c>
    </row>
    <row r="123" spans="1:17" x14ac:dyDescent="0.25">
      <c r="A123" s="52"/>
      <c r="B123" s="53" t="s">
        <v>56</v>
      </c>
      <c r="C123" s="54">
        <v>45757</v>
      </c>
      <c r="D123" s="92">
        <v>8.25</v>
      </c>
      <c r="E123" s="92">
        <v>8.25</v>
      </c>
      <c r="F123" s="92">
        <v>8.25</v>
      </c>
      <c r="G123" s="77">
        <v>0</v>
      </c>
      <c r="H123" s="92">
        <v>8.25</v>
      </c>
      <c r="I123" s="92">
        <v>8.25</v>
      </c>
      <c r="J123" s="92">
        <v>8.25</v>
      </c>
      <c r="K123" s="92">
        <v>8.25</v>
      </c>
      <c r="L123" s="77">
        <v>0</v>
      </c>
      <c r="M123" s="92">
        <v>8.25</v>
      </c>
      <c r="N123" s="92">
        <v>8.25</v>
      </c>
      <c r="O123" s="92">
        <v>8.25</v>
      </c>
      <c r="P123" s="92">
        <v>8.25</v>
      </c>
      <c r="Q123" s="93">
        <v>8.25</v>
      </c>
    </row>
    <row r="124" spans="1:17" x14ac:dyDescent="0.25">
      <c r="A124" s="52"/>
      <c r="B124" s="53" t="s">
        <v>57</v>
      </c>
      <c r="C124" s="54">
        <v>45758</v>
      </c>
      <c r="D124" s="92">
        <v>7</v>
      </c>
      <c r="E124" s="92">
        <v>7</v>
      </c>
      <c r="F124" s="92">
        <v>7</v>
      </c>
      <c r="G124" s="92">
        <v>7</v>
      </c>
      <c r="H124" s="92">
        <v>7</v>
      </c>
      <c r="I124" s="92">
        <v>7</v>
      </c>
      <c r="J124" s="92">
        <v>7</v>
      </c>
      <c r="K124" s="92">
        <v>7</v>
      </c>
      <c r="L124" s="92">
        <v>7</v>
      </c>
      <c r="M124" s="92">
        <v>7</v>
      </c>
      <c r="N124" s="92">
        <v>7</v>
      </c>
      <c r="O124" s="92">
        <v>7</v>
      </c>
      <c r="P124" s="92">
        <v>7</v>
      </c>
      <c r="Q124" s="93">
        <v>7</v>
      </c>
    </row>
    <row r="125" spans="1:17" x14ac:dyDescent="0.25">
      <c r="A125" s="49"/>
      <c r="B125" s="65" t="s">
        <v>58</v>
      </c>
      <c r="C125" s="66">
        <v>45759</v>
      </c>
      <c r="D125" s="67">
        <v>0</v>
      </c>
      <c r="E125" s="67">
        <v>0</v>
      </c>
      <c r="F125" s="67">
        <v>0</v>
      </c>
      <c r="G125" s="67">
        <v>0</v>
      </c>
      <c r="H125" s="67">
        <v>0</v>
      </c>
      <c r="I125" s="67">
        <v>0</v>
      </c>
      <c r="J125" s="67">
        <v>0</v>
      </c>
      <c r="K125" s="67">
        <v>0</v>
      </c>
      <c r="L125" s="67">
        <v>0</v>
      </c>
      <c r="M125" s="67">
        <v>0</v>
      </c>
      <c r="N125" s="67">
        <v>0</v>
      </c>
      <c r="O125" s="67">
        <v>0</v>
      </c>
      <c r="P125" s="67">
        <v>0</v>
      </c>
      <c r="Q125" s="68">
        <v>0</v>
      </c>
    </row>
    <row r="126" spans="1:17" x14ac:dyDescent="0.25">
      <c r="A126" s="49"/>
      <c r="B126" s="65" t="s">
        <v>59</v>
      </c>
      <c r="C126" s="66">
        <v>45760</v>
      </c>
      <c r="D126" s="67">
        <v>0</v>
      </c>
      <c r="E126" s="67">
        <v>0</v>
      </c>
      <c r="F126" s="67">
        <v>0</v>
      </c>
      <c r="G126" s="67">
        <v>0</v>
      </c>
      <c r="H126" s="67">
        <v>0</v>
      </c>
      <c r="I126" s="67">
        <v>0</v>
      </c>
      <c r="J126" s="67">
        <v>0</v>
      </c>
      <c r="K126" s="67">
        <v>0</v>
      </c>
      <c r="L126" s="67">
        <v>0</v>
      </c>
      <c r="M126" s="67">
        <v>0</v>
      </c>
      <c r="N126" s="67">
        <v>0</v>
      </c>
      <c r="O126" s="67">
        <v>0</v>
      </c>
      <c r="P126" s="67">
        <v>0</v>
      </c>
      <c r="Q126" s="68">
        <v>0</v>
      </c>
    </row>
    <row r="127" spans="1:17" x14ac:dyDescent="0.25">
      <c r="A127" s="52"/>
      <c r="B127" s="53" t="s">
        <v>60</v>
      </c>
      <c r="C127" s="54">
        <v>45761</v>
      </c>
      <c r="D127" s="92">
        <v>8.25</v>
      </c>
      <c r="E127" s="92">
        <v>8.25</v>
      </c>
      <c r="F127" s="92">
        <v>8.25</v>
      </c>
      <c r="G127" s="92">
        <v>8.25</v>
      </c>
      <c r="H127" s="92">
        <v>8.25</v>
      </c>
      <c r="I127" s="92">
        <v>8.25</v>
      </c>
      <c r="J127" s="92">
        <v>8.25</v>
      </c>
      <c r="K127" s="92">
        <v>8.25</v>
      </c>
      <c r="L127" s="92">
        <v>8.25</v>
      </c>
      <c r="M127" s="92">
        <v>8.25</v>
      </c>
      <c r="N127" s="92">
        <v>8.25</v>
      </c>
      <c r="O127" s="92">
        <v>8.25</v>
      </c>
      <c r="P127" s="92">
        <v>8.25</v>
      </c>
      <c r="Q127" s="93">
        <v>8.25</v>
      </c>
    </row>
    <row r="128" spans="1:17" x14ac:dyDescent="0.25">
      <c r="A128" s="52"/>
      <c r="B128" s="53" t="s">
        <v>61</v>
      </c>
      <c r="C128" s="54">
        <v>45762</v>
      </c>
      <c r="D128" s="92">
        <v>8.25</v>
      </c>
      <c r="E128" s="92">
        <v>8.25</v>
      </c>
      <c r="F128" s="92">
        <v>8.25</v>
      </c>
      <c r="G128" s="92">
        <v>8.25</v>
      </c>
      <c r="H128" s="92">
        <v>8.25</v>
      </c>
      <c r="I128" s="92">
        <v>8.25</v>
      </c>
      <c r="J128" s="92">
        <v>8.25</v>
      </c>
      <c r="K128" s="92">
        <v>8.25</v>
      </c>
      <c r="L128" s="92">
        <v>8.25</v>
      </c>
      <c r="M128" s="92">
        <v>8.25</v>
      </c>
      <c r="N128" s="92">
        <v>8.25</v>
      </c>
      <c r="O128" s="92">
        <v>8.25</v>
      </c>
      <c r="P128" s="92">
        <v>8.25</v>
      </c>
      <c r="Q128" s="93">
        <v>8.25</v>
      </c>
    </row>
    <row r="129" spans="1:18" x14ac:dyDescent="0.25">
      <c r="A129" s="52"/>
      <c r="B129" s="53" t="s">
        <v>55</v>
      </c>
      <c r="C129" s="54">
        <v>45763</v>
      </c>
      <c r="D129" s="92">
        <v>8.25</v>
      </c>
      <c r="E129" s="92">
        <v>8.25</v>
      </c>
      <c r="F129" s="92">
        <v>8.25</v>
      </c>
      <c r="G129" s="92">
        <v>8.25</v>
      </c>
      <c r="H129" s="92">
        <v>8.25</v>
      </c>
      <c r="I129" s="92">
        <v>8.25</v>
      </c>
      <c r="J129" s="92">
        <v>8.25</v>
      </c>
      <c r="K129" s="92">
        <v>8.25</v>
      </c>
      <c r="L129" s="92">
        <v>8.25</v>
      </c>
      <c r="M129" s="92">
        <v>8.25</v>
      </c>
      <c r="N129" s="92">
        <v>8.25</v>
      </c>
      <c r="O129" s="92">
        <v>8.25</v>
      </c>
      <c r="P129" s="92">
        <v>8.25</v>
      </c>
      <c r="Q129" s="93">
        <v>8.25</v>
      </c>
    </row>
    <row r="130" spans="1:18" x14ac:dyDescent="0.25">
      <c r="A130" s="52"/>
      <c r="B130" s="53" t="s">
        <v>56</v>
      </c>
      <c r="C130" s="54">
        <v>45764</v>
      </c>
      <c r="D130" s="92">
        <v>8.25</v>
      </c>
      <c r="E130" s="92">
        <v>8.25</v>
      </c>
      <c r="F130" s="92">
        <v>8.25</v>
      </c>
      <c r="G130" s="92">
        <v>8.25</v>
      </c>
      <c r="H130" s="92">
        <v>8.25</v>
      </c>
      <c r="I130" s="92">
        <v>8.25</v>
      </c>
      <c r="J130" s="92">
        <v>8.25</v>
      </c>
      <c r="K130" s="92">
        <v>8.25</v>
      </c>
      <c r="L130" s="92">
        <v>8.25</v>
      </c>
      <c r="M130" s="92">
        <v>8.25</v>
      </c>
      <c r="N130" s="92">
        <v>8.25</v>
      </c>
      <c r="O130" s="92">
        <v>8.25</v>
      </c>
      <c r="P130" s="92">
        <v>8.25</v>
      </c>
      <c r="Q130" s="93">
        <v>8.25</v>
      </c>
    </row>
    <row r="131" spans="1:18" x14ac:dyDescent="0.25">
      <c r="A131" s="52"/>
      <c r="B131" s="53" t="s">
        <v>57</v>
      </c>
      <c r="C131" s="54">
        <v>45765</v>
      </c>
      <c r="D131" s="92">
        <v>7</v>
      </c>
      <c r="E131" s="92">
        <v>7</v>
      </c>
      <c r="F131" s="92">
        <v>7</v>
      </c>
      <c r="G131" s="92">
        <v>7</v>
      </c>
      <c r="H131" s="92">
        <v>7</v>
      </c>
      <c r="I131" s="92">
        <v>7</v>
      </c>
      <c r="J131" s="92">
        <v>7</v>
      </c>
      <c r="K131" s="92">
        <v>7</v>
      </c>
      <c r="L131" s="92">
        <v>7</v>
      </c>
      <c r="M131" s="92">
        <v>7</v>
      </c>
      <c r="N131" s="92">
        <v>7</v>
      </c>
      <c r="O131" s="92">
        <v>7</v>
      </c>
      <c r="P131" s="92">
        <v>7</v>
      </c>
      <c r="Q131" s="93">
        <v>7</v>
      </c>
    </row>
    <row r="132" spans="1:18" x14ac:dyDescent="0.25">
      <c r="A132" s="49"/>
      <c r="B132" s="65" t="s">
        <v>58</v>
      </c>
      <c r="C132" s="66">
        <v>45766</v>
      </c>
      <c r="D132" s="67">
        <v>0</v>
      </c>
      <c r="E132" s="67">
        <v>0</v>
      </c>
      <c r="F132" s="67">
        <v>0</v>
      </c>
      <c r="G132" s="67">
        <v>0</v>
      </c>
      <c r="H132" s="67">
        <v>0</v>
      </c>
      <c r="I132" s="67">
        <v>0</v>
      </c>
      <c r="J132" s="67">
        <v>0</v>
      </c>
      <c r="K132" s="67">
        <v>0</v>
      </c>
      <c r="L132" s="67">
        <v>0</v>
      </c>
      <c r="M132" s="67">
        <v>0</v>
      </c>
      <c r="N132" s="67">
        <v>0</v>
      </c>
      <c r="O132" s="67">
        <v>0</v>
      </c>
      <c r="P132" s="67">
        <v>0</v>
      </c>
      <c r="Q132" s="68">
        <v>0</v>
      </c>
    </row>
    <row r="133" spans="1:18" x14ac:dyDescent="0.25">
      <c r="A133" s="49"/>
      <c r="B133" s="65" t="s">
        <v>59</v>
      </c>
      <c r="C133" s="66">
        <v>45767</v>
      </c>
      <c r="D133" s="67">
        <v>0</v>
      </c>
      <c r="E133" s="67">
        <v>0</v>
      </c>
      <c r="F133" s="67">
        <v>0</v>
      </c>
      <c r="G133" s="67">
        <v>0</v>
      </c>
      <c r="H133" s="67">
        <v>0</v>
      </c>
      <c r="I133" s="67">
        <v>0</v>
      </c>
      <c r="J133" s="67">
        <v>0</v>
      </c>
      <c r="K133" s="67">
        <v>0</v>
      </c>
      <c r="L133" s="67">
        <v>0</v>
      </c>
      <c r="M133" s="67">
        <v>0</v>
      </c>
      <c r="N133" s="67">
        <v>0</v>
      </c>
      <c r="O133" s="67">
        <v>0</v>
      </c>
      <c r="P133" s="67">
        <v>0</v>
      </c>
      <c r="Q133" s="68">
        <v>0</v>
      </c>
    </row>
    <row r="134" spans="1:18" x14ac:dyDescent="0.25">
      <c r="A134" s="52"/>
      <c r="B134" s="53" t="s">
        <v>60</v>
      </c>
      <c r="C134" s="54">
        <v>45768</v>
      </c>
      <c r="D134" s="92">
        <v>8.25</v>
      </c>
      <c r="E134" s="92">
        <v>8.25</v>
      </c>
      <c r="F134" s="92">
        <v>8.25</v>
      </c>
      <c r="G134" s="92">
        <v>8.25</v>
      </c>
      <c r="H134" s="92">
        <v>8.25</v>
      </c>
      <c r="I134" s="92">
        <v>8.25</v>
      </c>
      <c r="J134" s="92">
        <v>8.25</v>
      </c>
      <c r="K134" s="92">
        <v>8.25</v>
      </c>
      <c r="L134" s="92">
        <v>8.25</v>
      </c>
      <c r="M134" s="92">
        <v>8.25</v>
      </c>
      <c r="N134" s="92">
        <v>8.25</v>
      </c>
      <c r="O134" s="92">
        <v>8.25</v>
      </c>
      <c r="P134" s="92">
        <v>8.25</v>
      </c>
      <c r="Q134" s="93">
        <v>8.25</v>
      </c>
    </row>
    <row r="135" spans="1:18" x14ac:dyDescent="0.25">
      <c r="A135" s="52"/>
      <c r="B135" s="53" t="s">
        <v>61</v>
      </c>
      <c r="C135" s="54">
        <v>45769</v>
      </c>
      <c r="D135" s="92">
        <v>8.25</v>
      </c>
      <c r="E135" s="92">
        <v>8.25</v>
      </c>
      <c r="F135" s="92">
        <v>8.25</v>
      </c>
      <c r="G135" s="92">
        <v>8.25</v>
      </c>
      <c r="H135" s="92">
        <v>8.25</v>
      </c>
      <c r="I135" s="92">
        <v>8.25</v>
      </c>
      <c r="J135" s="92">
        <v>8.25</v>
      </c>
      <c r="K135" s="92">
        <v>8.25</v>
      </c>
      <c r="L135" s="92">
        <v>8.25</v>
      </c>
      <c r="M135" s="92">
        <v>8.25</v>
      </c>
      <c r="N135" s="92">
        <v>8.25</v>
      </c>
      <c r="O135" s="92">
        <v>8.25</v>
      </c>
      <c r="P135" s="92">
        <v>8.25</v>
      </c>
      <c r="Q135" s="93">
        <v>8.25</v>
      </c>
    </row>
    <row r="136" spans="1:18" x14ac:dyDescent="0.25">
      <c r="A136" s="52"/>
      <c r="B136" s="53" t="s">
        <v>55</v>
      </c>
      <c r="C136" s="54">
        <v>45770</v>
      </c>
      <c r="D136" s="92">
        <v>8.25</v>
      </c>
      <c r="E136" s="92">
        <v>8.25</v>
      </c>
      <c r="F136" s="92">
        <v>8.25</v>
      </c>
      <c r="G136" s="92">
        <v>8.25</v>
      </c>
      <c r="H136" s="92">
        <v>8.25</v>
      </c>
      <c r="I136" s="92">
        <v>8.25</v>
      </c>
      <c r="J136" s="92">
        <v>8.25</v>
      </c>
      <c r="K136" s="92">
        <v>8.25</v>
      </c>
      <c r="L136" s="92">
        <v>8.25</v>
      </c>
      <c r="M136" s="92">
        <v>8.25</v>
      </c>
      <c r="N136" s="92">
        <v>8.25</v>
      </c>
      <c r="O136" s="92">
        <v>8.25</v>
      </c>
      <c r="P136" s="92">
        <v>8.25</v>
      </c>
      <c r="Q136" s="93">
        <v>8.25</v>
      </c>
    </row>
    <row r="137" spans="1:18" x14ac:dyDescent="0.25">
      <c r="A137" s="52"/>
      <c r="B137" s="53" t="s">
        <v>56</v>
      </c>
      <c r="C137" s="54">
        <v>45771</v>
      </c>
      <c r="D137" s="92">
        <v>8.25</v>
      </c>
      <c r="E137" s="92">
        <v>8.25</v>
      </c>
      <c r="F137" s="92">
        <v>8.25</v>
      </c>
      <c r="G137" s="92">
        <v>8.25</v>
      </c>
      <c r="H137" s="92">
        <v>8.25</v>
      </c>
      <c r="I137" s="92">
        <v>8.25</v>
      </c>
      <c r="J137" s="92">
        <v>8.25</v>
      </c>
      <c r="K137" s="92">
        <v>8.25</v>
      </c>
      <c r="L137" s="92">
        <v>8.25</v>
      </c>
      <c r="M137" s="92">
        <v>8.25</v>
      </c>
      <c r="N137" s="92">
        <v>8.25</v>
      </c>
      <c r="O137" s="77">
        <v>0</v>
      </c>
      <c r="P137" s="92">
        <v>8.25</v>
      </c>
      <c r="Q137" s="93">
        <v>8.25</v>
      </c>
    </row>
    <row r="138" spans="1:18" x14ac:dyDescent="0.25">
      <c r="A138" s="52"/>
      <c r="B138" s="53" t="s">
        <v>57</v>
      </c>
      <c r="C138" s="54">
        <v>45772</v>
      </c>
      <c r="D138" s="92">
        <v>7</v>
      </c>
      <c r="E138" s="92">
        <v>7</v>
      </c>
      <c r="F138" s="92">
        <v>7</v>
      </c>
      <c r="G138" s="92">
        <v>7</v>
      </c>
      <c r="H138" s="92">
        <v>7</v>
      </c>
      <c r="I138" s="92">
        <v>7</v>
      </c>
      <c r="J138" s="92">
        <v>7</v>
      </c>
      <c r="K138" s="92">
        <v>7</v>
      </c>
      <c r="L138" s="92">
        <v>7</v>
      </c>
      <c r="M138" s="92">
        <v>7</v>
      </c>
      <c r="N138" s="92">
        <v>7</v>
      </c>
      <c r="O138" s="77">
        <v>0</v>
      </c>
      <c r="P138" s="92">
        <v>7</v>
      </c>
      <c r="Q138" s="93">
        <v>7</v>
      </c>
    </row>
    <row r="139" spans="1:18" x14ac:dyDescent="0.25">
      <c r="A139" s="49"/>
      <c r="B139" s="65" t="s">
        <v>58</v>
      </c>
      <c r="C139" s="66">
        <v>45773</v>
      </c>
      <c r="D139" s="67">
        <v>0</v>
      </c>
      <c r="E139" s="67">
        <v>0</v>
      </c>
      <c r="F139" s="67">
        <v>0</v>
      </c>
      <c r="G139" s="67">
        <v>0</v>
      </c>
      <c r="H139" s="67">
        <v>0</v>
      </c>
      <c r="I139" s="67">
        <v>0</v>
      </c>
      <c r="J139" s="67">
        <v>0</v>
      </c>
      <c r="K139" s="67">
        <v>0</v>
      </c>
      <c r="L139" s="67">
        <v>0</v>
      </c>
      <c r="M139" s="67">
        <v>0</v>
      </c>
      <c r="N139" s="67">
        <v>0</v>
      </c>
      <c r="O139" s="77">
        <v>0</v>
      </c>
      <c r="P139" s="67">
        <v>0</v>
      </c>
      <c r="Q139" s="68">
        <v>0</v>
      </c>
    </row>
    <row r="140" spans="1:18" x14ac:dyDescent="0.25">
      <c r="A140" s="49"/>
      <c r="B140" s="65" t="s">
        <v>59</v>
      </c>
      <c r="C140" s="66">
        <v>45774</v>
      </c>
      <c r="D140" s="67">
        <v>0</v>
      </c>
      <c r="E140" s="67">
        <v>0</v>
      </c>
      <c r="F140" s="67">
        <v>0</v>
      </c>
      <c r="G140" s="67">
        <v>0</v>
      </c>
      <c r="H140" s="67">
        <v>0</v>
      </c>
      <c r="I140" s="67">
        <v>0</v>
      </c>
      <c r="J140" s="67">
        <v>0</v>
      </c>
      <c r="K140" s="67">
        <v>0</v>
      </c>
      <c r="L140" s="67">
        <v>0</v>
      </c>
      <c r="M140" s="67">
        <v>0</v>
      </c>
      <c r="N140" s="67">
        <v>0</v>
      </c>
      <c r="O140" s="77">
        <v>0</v>
      </c>
      <c r="P140" s="67">
        <v>0</v>
      </c>
      <c r="Q140" s="68">
        <v>0</v>
      </c>
    </row>
    <row r="141" spans="1:18" x14ac:dyDescent="0.25">
      <c r="A141" s="52"/>
      <c r="B141" s="53" t="s">
        <v>60</v>
      </c>
      <c r="C141" s="54">
        <v>45775</v>
      </c>
      <c r="D141" s="92">
        <v>8.25</v>
      </c>
      <c r="E141" s="92">
        <v>8.25</v>
      </c>
      <c r="F141" s="92">
        <v>8.25</v>
      </c>
      <c r="G141" s="92">
        <v>8.25</v>
      </c>
      <c r="H141" s="92">
        <v>8.25</v>
      </c>
      <c r="I141" s="92">
        <v>8.25</v>
      </c>
      <c r="J141" s="92">
        <v>8.25</v>
      </c>
      <c r="K141" s="92">
        <v>8.25</v>
      </c>
      <c r="L141" s="92">
        <v>8.25</v>
      </c>
      <c r="M141" s="92">
        <v>8.25</v>
      </c>
      <c r="N141" s="92">
        <v>8.25</v>
      </c>
      <c r="O141" s="77">
        <v>0</v>
      </c>
      <c r="P141" s="92">
        <v>8.25</v>
      </c>
      <c r="Q141" s="93">
        <v>8.25</v>
      </c>
    </row>
    <row r="142" spans="1:18" x14ac:dyDescent="0.25">
      <c r="A142" s="52"/>
      <c r="B142" s="53" t="s">
        <v>61</v>
      </c>
      <c r="C142" s="54">
        <v>45776</v>
      </c>
      <c r="D142" s="92">
        <v>8.25</v>
      </c>
      <c r="E142" s="92">
        <v>8.25</v>
      </c>
      <c r="F142" s="92">
        <v>8.25</v>
      </c>
      <c r="G142" s="92">
        <v>8.25</v>
      </c>
      <c r="H142" s="92">
        <v>8.25</v>
      </c>
      <c r="I142" s="92">
        <v>8.25</v>
      </c>
      <c r="J142" s="92">
        <v>8.25</v>
      </c>
      <c r="K142" s="92">
        <v>8.25</v>
      </c>
      <c r="L142" s="92">
        <v>8.25</v>
      </c>
      <c r="M142" s="92">
        <v>8.25</v>
      </c>
      <c r="N142" s="92">
        <v>8.25</v>
      </c>
      <c r="O142" s="92">
        <v>8.25</v>
      </c>
      <c r="P142" s="92">
        <v>8.25</v>
      </c>
      <c r="Q142" s="93">
        <v>8.25</v>
      </c>
    </row>
    <row r="143" spans="1:18" ht="15.75" thickBot="1" x14ac:dyDescent="0.3">
      <c r="A143" s="52"/>
      <c r="B143" s="55" t="s">
        <v>55</v>
      </c>
      <c r="C143" s="56">
        <v>45777</v>
      </c>
      <c r="D143" s="78">
        <v>0</v>
      </c>
      <c r="E143" s="94">
        <v>7.25</v>
      </c>
      <c r="F143" s="94">
        <v>7.25</v>
      </c>
      <c r="G143" s="94">
        <v>7.25</v>
      </c>
      <c r="H143" s="94">
        <v>7.25</v>
      </c>
      <c r="I143" s="78">
        <v>0</v>
      </c>
      <c r="J143" s="94">
        <v>7.25</v>
      </c>
      <c r="K143" s="94">
        <v>7.25</v>
      </c>
      <c r="L143" s="94">
        <v>7.25</v>
      </c>
      <c r="M143" s="94">
        <v>7.25</v>
      </c>
      <c r="N143" s="94">
        <v>7.25</v>
      </c>
      <c r="O143" s="94">
        <v>7.25</v>
      </c>
      <c r="P143" s="94">
        <v>7.25</v>
      </c>
      <c r="Q143" s="95">
        <v>7.25</v>
      </c>
      <c r="R143" s="40"/>
    </row>
    <row r="144" spans="1:18" x14ac:dyDescent="0.25">
      <c r="A144" s="49"/>
      <c r="B144" s="69" t="s">
        <v>56</v>
      </c>
      <c r="C144" s="70">
        <v>45778</v>
      </c>
      <c r="D144" s="79">
        <v>0</v>
      </c>
      <c r="E144" s="71">
        <v>0</v>
      </c>
      <c r="F144" s="71">
        <v>0</v>
      </c>
      <c r="G144" s="71">
        <v>0</v>
      </c>
      <c r="H144" s="71">
        <v>0</v>
      </c>
      <c r="I144" s="79">
        <v>0</v>
      </c>
      <c r="J144" s="71">
        <v>0</v>
      </c>
      <c r="K144" s="71">
        <v>0</v>
      </c>
      <c r="L144" s="71">
        <v>0</v>
      </c>
      <c r="M144" s="71">
        <v>0</v>
      </c>
      <c r="N144" s="71">
        <v>0</v>
      </c>
      <c r="O144" s="71">
        <v>0</v>
      </c>
      <c r="P144" s="71">
        <v>0</v>
      </c>
      <c r="Q144" s="72">
        <v>0</v>
      </c>
      <c r="R144" s="40"/>
    </row>
    <row r="145" spans="1:18" x14ac:dyDescent="0.25">
      <c r="A145" s="49"/>
      <c r="B145" s="65" t="s">
        <v>57</v>
      </c>
      <c r="C145" s="66">
        <v>45779</v>
      </c>
      <c r="D145" s="77">
        <v>0</v>
      </c>
      <c r="E145" s="67">
        <v>0</v>
      </c>
      <c r="F145" s="67">
        <v>0</v>
      </c>
      <c r="G145" s="67">
        <v>0</v>
      </c>
      <c r="H145" s="67">
        <v>0</v>
      </c>
      <c r="I145" s="77">
        <v>0</v>
      </c>
      <c r="J145" s="67">
        <v>0</v>
      </c>
      <c r="K145" s="67">
        <v>0</v>
      </c>
      <c r="L145" s="67">
        <v>0</v>
      </c>
      <c r="M145" s="67">
        <v>0</v>
      </c>
      <c r="N145" s="67">
        <v>0</v>
      </c>
      <c r="O145" s="67">
        <v>0</v>
      </c>
      <c r="P145" s="67">
        <v>0</v>
      </c>
      <c r="Q145" s="68">
        <v>0</v>
      </c>
      <c r="R145" s="40"/>
    </row>
    <row r="146" spans="1:18" x14ac:dyDescent="0.25">
      <c r="A146" s="49"/>
      <c r="B146" s="65" t="s">
        <v>58</v>
      </c>
      <c r="C146" s="66">
        <v>45780</v>
      </c>
      <c r="D146" s="77">
        <v>0</v>
      </c>
      <c r="E146" s="67">
        <v>0</v>
      </c>
      <c r="F146" s="67">
        <v>0</v>
      </c>
      <c r="G146" s="67">
        <v>0</v>
      </c>
      <c r="H146" s="67">
        <v>0</v>
      </c>
      <c r="I146" s="77">
        <v>0</v>
      </c>
      <c r="J146" s="67">
        <v>0</v>
      </c>
      <c r="K146" s="67">
        <v>0</v>
      </c>
      <c r="L146" s="67">
        <v>0</v>
      </c>
      <c r="M146" s="67">
        <v>0</v>
      </c>
      <c r="N146" s="67">
        <v>0</v>
      </c>
      <c r="O146" s="67">
        <v>0</v>
      </c>
      <c r="P146" s="67">
        <v>0</v>
      </c>
      <c r="Q146" s="68">
        <v>0</v>
      </c>
    </row>
    <row r="147" spans="1:18" x14ac:dyDescent="0.25">
      <c r="A147" s="49"/>
      <c r="B147" s="65" t="s">
        <v>59</v>
      </c>
      <c r="C147" s="66">
        <v>45781</v>
      </c>
      <c r="D147" s="77">
        <v>0</v>
      </c>
      <c r="E147" s="67">
        <v>0</v>
      </c>
      <c r="F147" s="67">
        <v>0</v>
      </c>
      <c r="G147" s="67">
        <v>0</v>
      </c>
      <c r="H147" s="67">
        <v>0</v>
      </c>
      <c r="I147" s="77">
        <v>0</v>
      </c>
      <c r="J147" s="67">
        <v>0</v>
      </c>
      <c r="K147" s="67">
        <v>0</v>
      </c>
      <c r="L147" s="67">
        <v>0</v>
      </c>
      <c r="M147" s="67">
        <v>0</v>
      </c>
      <c r="N147" s="67">
        <v>0</v>
      </c>
      <c r="O147" s="67">
        <v>0</v>
      </c>
      <c r="P147" s="67">
        <v>0</v>
      </c>
      <c r="Q147" s="68">
        <v>0</v>
      </c>
    </row>
    <row r="148" spans="1:18" x14ac:dyDescent="0.25">
      <c r="A148" s="52"/>
      <c r="B148" s="53" t="s">
        <v>60</v>
      </c>
      <c r="C148" s="54">
        <v>45782</v>
      </c>
      <c r="D148" s="77">
        <v>0</v>
      </c>
      <c r="E148" s="92">
        <v>8.25</v>
      </c>
      <c r="F148" s="92">
        <v>8.25</v>
      </c>
      <c r="G148" s="92">
        <v>8.25</v>
      </c>
      <c r="H148" s="92">
        <v>8.25</v>
      </c>
      <c r="I148" s="92">
        <v>8.25</v>
      </c>
      <c r="J148" s="92">
        <v>8.25</v>
      </c>
      <c r="K148" s="92">
        <v>8.25</v>
      </c>
      <c r="L148" s="92">
        <v>8.25</v>
      </c>
      <c r="M148" s="92">
        <v>8.25</v>
      </c>
      <c r="N148" s="92">
        <v>8.25</v>
      </c>
      <c r="O148" s="92">
        <v>8.25</v>
      </c>
      <c r="P148" s="92">
        <v>8.25</v>
      </c>
      <c r="Q148" s="93">
        <v>8.25</v>
      </c>
    </row>
    <row r="149" spans="1:18" x14ac:dyDescent="0.25">
      <c r="A149" s="52"/>
      <c r="B149" s="53" t="s">
        <v>61</v>
      </c>
      <c r="C149" s="54">
        <v>45783</v>
      </c>
      <c r="D149" s="77">
        <v>0</v>
      </c>
      <c r="E149" s="92">
        <v>8.25</v>
      </c>
      <c r="F149" s="92">
        <v>8.25</v>
      </c>
      <c r="G149" s="92">
        <v>8.25</v>
      </c>
      <c r="H149" s="92">
        <v>8.25</v>
      </c>
      <c r="I149" s="92">
        <v>8.25</v>
      </c>
      <c r="J149" s="92">
        <v>8.25</v>
      </c>
      <c r="K149" s="92">
        <v>8.25</v>
      </c>
      <c r="L149" s="92">
        <v>8.25</v>
      </c>
      <c r="M149" s="92">
        <v>8.25</v>
      </c>
      <c r="N149" s="92">
        <v>8.25</v>
      </c>
      <c r="O149" s="92">
        <v>8.25</v>
      </c>
      <c r="P149" s="92">
        <v>8.25</v>
      </c>
      <c r="Q149" s="93">
        <v>8.25</v>
      </c>
    </row>
    <row r="150" spans="1:18" x14ac:dyDescent="0.25">
      <c r="A150" s="52"/>
      <c r="B150" s="53" t="s">
        <v>55</v>
      </c>
      <c r="C150" s="54">
        <v>45784</v>
      </c>
      <c r="D150" s="77">
        <v>0</v>
      </c>
      <c r="E150" s="92">
        <v>8.25</v>
      </c>
      <c r="F150" s="92">
        <v>8.25</v>
      </c>
      <c r="G150" s="92">
        <v>8.25</v>
      </c>
      <c r="H150" s="92">
        <v>8.25</v>
      </c>
      <c r="I150" s="92">
        <v>8.25</v>
      </c>
      <c r="J150" s="92">
        <v>8.25</v>
      </c>
      <c r="K150" s="92">
        <v>8.25</v>
      </c>
      <c r="L150" s="92">
        <v>8.25</v>
      </c>
      <c r="M150" s="92">
        <v>8.25</v>
      </c>
      <c r="N150" s="92">
        <v>8.25</v>
      </c>
      <c r="O150" s="92">
        <v>8.25</v>
      </c>
      <c r="P150" s="92">
        <v>8.25</v>
      </c>
      <c r="Q150" s="93">
        <v>8.25</v>
      </c>
    </row>
    <row r="151" spans="1:18" x14ac:dyDescent="0.25">
      <c r="A151" s="49"/>
      <c r="B151" s="65" t="s">
        <v>56</v>
      </c>
      <c r="C151" s="66">
        <v>45785</v>
      </c>
      <c r="D151" s="77">
        <v>0</v>
      </c>
      <c r="E151" s="67">
        <v>0</v>
      </c>
      <c r="F151" s="67">
        <v>0</v>
      </c>
      <c r="G151" s="67">
        <v>0</v>
      </c>
      <c r="H151" s="67">
        <v>0</v>
      </c>
      <c r="I151" s="67">
        <v>0</v>
      </c>
      <c r="J151" s="67">
        <v>0</v>
      </c>
      <c r="K151" s="67">
        <v>0</v>
      </c>
      <c r="L151" s="67">
        <v>0</v>
      </c>
      <c r="M151" s="67">
        <v>0</v>
      </c>
      <c r="N151" s="77">
        <v>0</v>
      </c>
      <c r="O151" s="67">
        <v>0</v>
      </c>
      <c r="P151" s="67">
        <v>0</v>
      </c>
      <c r="Q151" s="68">
        <v>0</v>
      </c>
      <c r="R151" s="40"/>
    </row>
    <row r="152" spans="1:18" x14ac:dyDescent="0.25">
      <c r="A152" s="49"/>
      <c r="B152" s="65" t="s">
        <v>57</v>
      </c>
      <c r="C152" s="66">
        <v>45786</v>
      </c>
      <c r="D152" s="77">
        <v>0</v>
      </c>
      <c r="E152" s="67">
        <v>0</v>
      </c>
      <c r="F152" s="67">
        <v>0</v>
      </c>
      <c r="G152" s="67">
        <v>0</v>
      </c>
      <c r="H152" s="67">
        <v>0</v>
      </c>
      <c r="I152" s="67">
        <v>0</v>
      </c>
      <c r="J152" s="67">
        <v>0</v>
      </c>
      <c r="K152" s="67">
        <v>0</v>
      </c>
      <c r="L152" s="67">
        <v>0</v>
      </c>
      <c r="M152" s="67">
        <v>0</v>
      </c>
      <c r="N152" s="77">
        <v>0</v>
      </c>
      <c r="O152" s="67">
        <v>0</v>
      </c>
      <c r="P152" s="67">
        <v>0</v>
      </c>
      <c r="Q152" s="68">
        <v>0</v>
      </c>
      <c r="R152" s="40"/>
    </row>
    <row r="153" spans="1:18" x14ac:dyDescent="0.25">
      <c r="A153" s="49"/>
      <c r="B153" s="65" t="s">
        <v>58</v>
      </c>
      <c r="C153" s="66">
        <v>45787</v>
      </c>
      <c r="D153" s="77">
        <v>0</v>
      </c>
      <c r="E153" s="67">
        <v>0</v>
      </c>
      <c r="F153" s="67">
        <v>0</v>
      </c>
      <c r="G153" s="67">
        <v>0</v>
      </c>
      <c r="H153" s="67">
        <v>0</v>
      </c>
      <c r="I153" s="67">
        <v>0</v>
      </c>
      <c r="J153" s="67">
        <v>0</v>
      </c>
      <c r="K153" s="67">
        <v>0</v>
      </c>
      <c r="L153" s="67">
        <v>0</v>
      </c>
      <c r="M153" s="67">
        <v>0</v>
      </c>
      <c r="N153" s="77">
        <v>0</v>
      </c>
      <c r="O153" s="67">
        <v>0</v>
      </c>
      <c r="P153" s="67">
        <v>0</v>
      </c>
      <c r="Q153" s="68">
        <v>0</v>
      </c>
    </row>
    <row r="154" spans="1:18" x14ac:dyDescent="0.25">
      <c r="A154" s="49"/>
      <c r="B154" s="65" t="s">
        <v>59</v>
      </c>
      <c r="C154" s="66">
        <v>45788</v>
      </c>
      <c r="D154" s="77">
        <v>0</v>
      </c>
      <c r="E154" s="67">
        <v>0</v>
      </c>
      <c r="F154" s="67">
        <v>0</v>
      </c>
      <c r="G154" s="67">
        <v>0</v>
      </c>
      <c r="H154" s="67">
        <v>0</v>
      </c>
      <c r="I154" s="67">
        <v>0</v>
      </c>
      <c r="J154" s="67">
        <v>0</v>
      </c>
      <c r="K154" s="67">
        <v>0</v>
      </c>
      <c r="L154" s="67">
        <v>0</v>
      </c>
      <c r="M154" s="67">
        <v>0</v>
      </c>
      <c r="N154" s="77">
        <v>0</v>
      </c>
      <c r="O154" s="67">
        <v>0</v>
      </c>
      <c r="P154" s="67">
        <v>0</v>
      </c>
      <c r="Q154" s="68">
        <v>0</v>
      </c>
    </row>
    <row r="155" spans="1:18" x14ac:dyDescent="0.25">
      <c r="A155" s="52"/>
      <c r="B155" s="53" t="s">
        <v>60</v>
      </c>
      <c r="C155" s="54">
        <v>45789</v>
      </c>
      <c r="D155" s="77">
        <v>0</v>
      </c>
      <c r="E155" s="92">
        <v>8.25</v>
      </c>
      <c r="F155" s="92">
        <v>8.25</v>
      </c>
      <c r="G155" s="92">
        <v>8.25</v>
      </c>
      <c r="H155" s="92">
        <v>8.25</v>
      </c>
      <c r="I155" s="92">
        <v>8.25</v>
      </c>
      <c r="J155" s="77">
        <v>0</v>
      </c>
      <c r="K155" s="92">
        <v>8.25</v>
      </c>
      <c r="L155" s="92">
        <v>8.25</v>
      </c>
      <c r="M155" s="92">
        <v>8.25</v>
      </c>
      <c r="N155" s="77">
        <v>0</v>
      </c>
      <c r="O155" s="92">
        <v>8.25</v>
      </c>
      <c r="P155" s="92">
        <v>8.25</v>
      </c>
      <c r="Q155" s="93">
        <v>8.25</v>
      </c>
    </row>
    <row r="156" spans="1:18" x14ac:dyDescent="0.25">
      <c r="A156" s="52"/>
      <c r="B156" s="53" t="s">
        <v>61</v>
      </c>
      <c r="C156" s="54">
        <v>45790</v>
      </c>
      <c r="D156" s="77">
        <v>0</v>
      </c>
      <c r="E156" s="92">
        <v>8.25</v>
      </c>
      <c r="F156" s="92">
        <v>8.25</v>
      </c>
      <c r="G156" s="92">
        <v>8.25</v>
      </c>
      <c r="H156" s="92">
        <v>8.25</v>
      </c>
      <c r="I156" s="92">
        <v>8.25</v>
      </c>
      <c r="J156" s="77">
        <v>0</v>
      </c>
      <c r="K156" s="92">
        <v>8.25</v>
      </c>
      <c r="L156" s="92">
        <v>8.25</v>
      </c>
      <c r="M156" s="92">
        <v>8.25</v>
      </c>
      <c r="N156" s="77">
        <v>0</v>
      </c>
      <c r="O156" s="92">
        <v>8.25</v>
      </c>
      <c r="P156" s="92">
        <v>8.25</v>
      </c>
      <c r="Q156" s="93">
        <v>8.25</v>
      </c>
    </row>
    <row r="157" spans="1:18" x14ac:dyDescent="0.25">
      <c r="A157" s="52"/>
      <c r="B157" s="53" t="s">
        <v>55</v>
      </c>
      <c r="C157" s="54">
        <v>45791</v>
      </c>
      <c r="D157" s="92">
        <v>8.25</v>
      </c>
      <c r="E157" s="92">
        <v>8.25</v>
      </c>
      <c r="F157" s="92">
        <v>8.25</v>
      </c>
      <c r="G157" s="92">
        <v>8.25</v>
      </c>
      <c r="H157" s="92">
        <v>8.25</v>
      </c>
      <c r="I157" s="92">
        <v>8.25</v>
      </c>
      <c r="J157" s="77">
        <v>0</v>
      </c>
      <c r="K157" s="92">
        <v>8.25</v>
      </c>
      <c r="L157" s="92">
        <v>8.25</v>
      </c>
      <c r="M157" s="92">
        <v>8.25</v>
      </c>
      <c r="N157" s="77">
        <v>0</v>
      </c>
      <c r="O157" s="92">
        <v>8.25</v>
      </c>
      <c r="P157" s="92">
        <v>8.25</v>
      </c>
      <c r="Q157" s="93">
        <v>8.25</v>
      </c>
    </row>
    <row r="158" spans="1:18" x14ac:dyDescent="0.25">
      <c r="A158" s="52"/>
      <c r="B158" s="53" t="s">
        <v>56</v>
      </c>
      <c r="C158" s="54">
        <v>45792</v>
      </c>
      <c r="D158" s="92">
        <v>8.25</v>
      </c>
      <c r="E158" s="92">
        <v>8.25</v>
      </c>
      <c r="F158" s="92">
        <v>8.25</v>
      </c>
      <c r="G158" s="92">
        <v>8.25</v>
      </c>
      <c r="H158" s="92">
        <v>8.25</v>
      </c>
      <c r="I158" s="92">
        <v>8.25</v>
      </c>
      <c r="J158" s="77">
        <v>0</v>
      </c>
      <c r="K158" s="92">
        <v>8.25</v>
      </c>
      <c r="L158" s="92">
        <v>8.25</v>
      </c>
      <c r="M158" s="92">
        <v>8.25</v>
      </c>
      <c r="N158" s="77">
        <v>0</v>
      </c>
      <c r="O158" s="92">
        <v>8.25</v>
      </c>
      <c r="P158" s="92">
        <v>8.25</v>
      </c>
      <c r="Q158" s="93">
        <v>8.25</v>
      </c>
    </row>
    <row r="159" spans="1:18" x14ac:dyDescent="0.25">
      <c r="A159" s="52"/>
      <c r="B159" s="53" t="s">
        <v>57</v>
      </c>
      <c r="C159" s="54">
        <v>45793</v>
      </c>
      <c r="D159" s="92">
        <v>7</v>
      </c>
      <c r="E159" s="92">
        <v>7</v>
      </c>
      <c r="F159" s="92">
        <v>7</v>
      </c>
      <c r="G159" s="92">
        <v>7</v>
      </c>
      <c r="H159" s="92">
        <v>7</v>
      </c>
      <c r="I159" s="92">
        <v>7</v>
      </c>
      <c r="J159" s="92">
        <v>7</v>
      </c>
      <c r="K159" s="92">
        <v>7</v>
      </c>
      <c r="L159" s="92">
        <v>7</v>
      </c>
      <c r="M159" s="92">
        <v>7</v>
      </c>
      <c r="N159" s="77">
        <v>0</v>
      </c>
      <c r="O159" s="92">
        <v>7</v>
      </c>
      <c r="P159" s="92">
        <v>7</v>
      </c>
      <c r="Q159" s="93">
        <v>7</v>
      </c>
    </row>
    <row r="160" spans="1:18" x14ac:dyDescent="0.25">
      <c r="A160" s="49"/>
      <c r="B160" s="65" t="s">
        <v>58</v>
      </c>
      <c r="C160" s="66">
        <v>45794</v>
      </c>
      <c r="D160" s="67">
        <v>0</v>
      </c>
      <c r="E160" s="67">
        <v>0</v>
      </c>
      <c r="F160" s="67">
        <v>0</v>
      </c>
      <c r="G160" s="67">
        <v>0</v>
      </c>
      <c r="H160" s="67">
        <v>0</v>
      </c>
      <c r="I160" s="67">
        <v>0</v>
      </c>
      <c r="J160" s="67">
        <v>0</v>
      </c>
      <c r="K160" s="67">
        <v>0</v>
      </c>
      <c r="L160" s="67">
        <v>0</v>
      </c>
      <c r="M160" s="77">
        <v>0</v>
      </c>
      <c r="N160" s="77">
        <v>0</v>
      </c>
      <c r="O160" s="67">
        <v>0</v>
      </c>
      <c r="P160" s="67">
        <v>0</v>
      </c>
      <c r="Q160" s="68">
        <v>0</v>
      </c>
    </row>
    <row r="161" spans="1:17" x14ac:dyDescent="0.25">
      <c r="A161" s="49"/>
      <c r="B161" s="65" t="s">
        <v>59</v>
      </c>
      <c r="C161" s="66">
        <v>45795</v>
      </c>
      <c r="D161" s="67">
        <v>0</v>
      </c>
      <c r="E161" s="67">
        <v>0</v>
      </c>
      <c r="F161" s="67">
        <v>0</v>
      </c>
      <c r="G161" s="67">
        <v>0</v>
      </c>
      <c r="H161" s="67">
        <v>0</v>
      </c>
      <c r="I161" s="67">
        <v>0</v>
      </c>
      <c r="J161" s="67">
        <v>0</v>
      </c>
      <c r="K161" s="67">
        <v>0</v>
      </c>
      <c r="L161" s="67">
        <v>0</v>
      </c>
      <c r="M161" s="77">
        <v>0</v>
      </c>
      <c r="N161" s="77">
        <v>0</v>
      </c>
      <c r="O161" s="67">
        <v>0</v>
      </c>
      <c r="P161" s="67">
        <v>0</v>
      </c>
      <c r="Q161" s="68">
        <v>0</v>
      </c>
    </row>
    <row r="162" spans="1:17" x14ac:dyDescent="0.25">
      <c r="A162" s="52"/>
      <c r="B162" s="53" t="s">
        <v>60</v>
      </c>
      <c r="C162" s="54">
        <v>45796</v>
      </c>
      <c r="D162" s="92">
        <v>8.25</v>
      </c>
      <c r="E162" s="92">
        <v>8.25</v>
      </c>
      <c r="F162" s="92">
        <v>8.25</v>
      </c>
      <c r="G162" s="92">
        <v>8.25</v>
      </c>
      <c r="H162" s="92">
        <v>8.25</v>
      </c>
      <c r="I162" s="92">
        <v>8.25</v>
      </c>
      <c r="J162" s="92">
        <v>8.25</v>
      </c>
      <c r="K162" s="92">
        <v>8.25</v>
      </c>
      <c r="L162" s="92">
        <v>8.25</v>
      </c>
      <c r="M162" s="77">
        <v>0</v>
      </c>
      <c r="N162" s="77">
        <v>0</v>
      </c>
      <c r="O162" s="92">
        <v>8.25</v>
      </c>
      <c r="P162" s="77">
        <v>0</v>
      </c>
      <c r="Q162" s="93">
        <v>8.25</v>
      </c>
    </row>
    <row r="163" spans="1:17" x14ac:dyDescent="0.25">
      <c r="A163" s="52"/>
      <c r="B163" s="53" t="s">
        <v>61</v>
      </c>
      <c r="C163" s="54">
        <v>45797</v>
      </c>
      <c r="D163" s="92">
        <v>8.25</v>
      </c>
      <c r="E163" s="92">
        <v>8.25</v>
      </c>
      <c r="F163" s="92">
        <v>8.25</v>
      </c>
      <c r="G163" s="92">
        <v>8.25</v>
      </c>
      <c r="H163" s="92">
        <v>8.25</v>
      </c>
      <c r="I163" s="92">
        <v>8.25</v>
      </c>
      <c r="J163" s="92">
        <v>8.25</v>
      </c>
      <c r="K163" s="92">
        <v>8.25</v>
      </c>
      <c r="L163" s="92">
        <v>8.25</v>
      </c>
      <c r="M163" s="77">
        <v>0</v>
      </c>
      <c r="N163" s="77">
        <v>0</v>
      </c>
      <c r="O163" s="92">
        <v>8.25</v>
      </c>
      <c r="P163" s="77">
        <v>0</v>
      </c>
      <c r="Q163" s="93">
        <v>8.25</v>
      </c>
    </row>
    <row r="164" spans="1:17" x14ac:dyDescent="0.25">
      <c r="A164" s="52"/>
      <c r="B164" s="53" t="s">
        <v>55</v>
      </c>
      <c r="C164" s="54">
        <v>45798</v>
      </c>
      <c r="D164" s="92">
        <v>8.25</v>
      </c>
      <c r="E164" s="92">
        <v>8.25</v>
      </c>
      <c r="F164" s="92">
        <v>8.25</v>
      </c>
      <c r="G164" s="92">
        <v>8.25</v>
      </c>
      <c r="H164" s="92">
        <v>8.25</v>
      </c>
      <c r="I164" s="92">
        <v>8.25</v>
      </c>
      <c r="J164" s="92">
        <v>8.25</v>
      </c>
      <c r="K164" s="92">
        <v>8.25</v>
      </c>
      <c r="L164" s="92">
        <v>8.25</v>
      </c>
      <c r="M164" s="77">
        <v>0</v>
      </c>
      <c r="N164" s="77">
        <v>0</v>
      </c>
      <c r="O164" s="92">
        <v>8.25</v>
      </c>
      <c r="P164" s="77">
        <v>0</v>
      </c>
      <c r="Q164" s="80">
        <v>0</v>
      </c>
    </row>
    <row r="165" spans="1:17" x14ac:dyDescent="0.25">
      <c r="A165" s="52"/>
      <c r="B165" s="53" t="s">
        <v>56</v>
      </c>
      <c r="C165" s="54">
        <v>45799</v>
      </c>
      <c r="D165" s="92">
        <v>8.25</v>
      </c>
      <c r="E165" s="92">
        <v>8.25</v>
      </c>
      <c r="F165" s="92">
        <v>8.25</v>
      </c>
      <c r="G165" s="92">
        <v>8.25</v>
      </c>
      <c r="H165" s="92">
        <v>8.25</v>
      </c>
      <c r="I165" s="92">
        <v>8.25</v>
      </c>
      <c r="J165" s="92">
        <v>8.25</v>
      </c>
      <c r="K165" s="92">
        <v>8.25</v>
      </c>
      <c r="L165" s="92">
        <v>8.25</v>
      </c>
      <c r="M165" s="77">
        <v>0</v>
      </c>
      <c r="N165" s="92">
        <v>8.25</v>
      </c>
      <c r="O165" s="92">
        <v>8.25</v>
      </c>
      <c r="P165" s="77">
        <v>0</v>
      </c>
      <c r="Q165" s="80">
        <v>0</v>
      </c>
    </row>
    <row r="166" spans="1:17" x14ac:dyDescent="0.25">
      <c r="A166" s="52"/>
      <c r="B166" s="53" t="s">
        <v>57</v>
      </c>
      <c r="C166" s="54">
        <v>45800</v>
      </c>
      <c r="D166" s="92">
        <v>7</v>
      </c>
      <c r="E166" s="92">
        <v>7</v>
      </c>
      <c r="F166" s="92">
        <v>7</v>
      </c>
      <c r="G166" s="92">
        <v>7</v>
      </c>
      <c r="H166" s="92">
        <v>7</v>
      </c>
      <c r="I166" s="92">
        <v>7</v>
      </c>
      <c r="J166" s="92">
        <v>7</v>
      </c>
      <c r="K166" s="92">
        <v>7</v>
      </c>
      <c r="L166" s="92">
        <v>7</v>
      </c>
      <c r="M166" s="77">
        <v>0</v>
      </c>
      <c r="N166" s="92">
        <v>7</v>
      </c>
      <c r="O166" s="92">
        <v>7</v>
      </c>
      <c r="P166" s="77">
        <v>0</v>
      </c>
      <c r="Q166" s="80">
        <v>0</v>
      </c>
    </row>
    <row r="167" spans="1:17" x14ac:dyDescent="0.25">
      <c r="A167" s="49"/>
      <c r="B167" s="65" t="s">
        <v>58</v>
      </c>
      <c r="C167" s="66">
        <v>45801</v>
      </c>
      <c r="D167" s="67">
        <v>0</v>
      </c>
      <c r="E167" s="67">
        <v>0</v>
      </c>
      <c r="F167" s="67">
        <v>0</v>
      </c>
      <c r="G167" s="67">
        <v>0</v>
      </c>
      <c r="H167" s="67">
        <v>0</v>
      </c>
      <c r="I167" s="67">
        <v>0</v>
      </c>
      <c r="J167" s="67">
        <v>0</v>
      </c>
      <c r="K167" s="67">
        <v>0</v>
      </c>
      <c r="L167" s="67">
        <v>0</v>
      </c>
      <c r="M167" s="77">
        <v>0</v>
      </c>
      <c r="N167" s="67">
        <v>0</v>
      </c>
      <c r="O167" s="67">
        <v>0</v>
      </c>
      <c r="P167" s="77">
        <v>0</v>
      </c>
      <c r="Q167" s="80">
        <v>0</v>
      </c>
    </row>
    <row r="168" spans="1:17" x14ac:dyDescent="0.25">
      <c r="A168" s="49"/>
      <c r="B168" s="65" t="s">
        <v>59</v>
      </c>
      <c r="C168" s="66">
        <v>45802</v>
      </c>
      <c r="D168" s="67">
        <v>0</v>
      </c>
      <c r="E168" s="67">
        <v>0</v>
      </c>
      <c r="F168" s="67">
        <v>0</v>
      </c>
      <c r="G168" s="67">
        <v>0</v>
      </c>
      <c r="H168" s="67">
        <v>0</v>
      </c>
      <c r="I168" s="67">
        <v>0</v>
      </c>
      <c r="J168" s="67">
        <v>0</v>
      </c>
      <c r="K168" s="67">
        <v>0</v>
      </c>
      <c r="L168" s="67">
        <v>0</v>
      </c>
      <c r="M168" s="77">
        <v>0</v>
      </c>
      <c r="N168" s="67">
        <v>0</v>
      </c>
      <c r="O168" s="67">
        <v>0</v>
      </c>
      <c r="P168" s="77">
        <v>0</v>
      </c>
      <c r="Q168" s="80">
        <v>0</v>
      </c>
    </row>
    <row r="169" spans="1:17" x14ac:dyDescent="0.25">
      <c r="A169" s="52"/>
      <c r="B169" s="53" t="s">
        <v>60</v>
      </c>
      <c r="C169" s="54">
        <v>45803</v>
      </c>
      <c r="D169" s="92">
        <v>8.25</v>
      </c>
      <c r="E169" s="92">
        <v>8.25</v>
      </c>
      <c r="F169" s="92">
        <v>8.25</v>
      </c>
      <c r="G169" s="92">
        <v>8.25</v>
      </c>
      <c r="H169" s="92">
        <v>8.25</v>
      </c>
      <c r="I169" s="92">
        <v>8.25</v>
      </c>
      <c r="J169" s="92">
        <v>8.25</v>
      </c>
      <c r="K169" s="92">
        <v>8.25</v>
      </c>
      <c r="L169" s="92">
        <v>8.25</v>
      </c>
      <c r="M169" s="77">
        <v>0</v>
      </c>
      <c r="N169" s="92">
        <v>8.25</v>
      </c>
      <c r="O169" s="92">
        <v>8.25</v>
      </c>
      <c r="P169" s="77">
        <v>0</v>
      </c>
      <c r="Q169" s="93">
        <v>8.25</v>
      </c>
    </row>
    <row r="170" spans="1:17" x14ac:dyDescent="0.25">
      <c r="A170" s="52"/>
      <c r="B170" s="53" t="s">
        <v>61</v>
      </c>
      <c r="C170" s="54">
        <v>45804</v>
      </c>
      <c r="D170" s="92">
        <v>8.25</v>
      </c>
      <c r="E170" s="92">
        <v>8.25</v>
      </c>
      <c r="F170" s="92">
        <v>8.25</v>
      </c>
      <c r="G170" s="92">
        <v>8.25</v>
      </c>
      <c r="H170" s="92">
        <v>8.25</v>
      </c>
      <c r="I170" s="92">
        <v>8.25</v>
      </c>
      <c r="J170" s="92">
        <v>8.25</v>
      </c>
      <c r="K170" s="92">
        <v>8.25</v>
      </c>
      <c r="L170" s="92">
        <v>8.25</v>
      </c>
      <c r="M170" s="77">
        <v>0</v>
      </c>
      <c r="N170" s="92">
        <v>8.25</v>
      </c>
      <c r="O170" s="92">
        <v>8.25</v>
      </c>
      <c r="P170" s="77">
        <v>0</v>
      </c>
      <c r="Q170" s="93">
        <v>8.25</v>
      </c>
    </row>
    <row r="171" spans="1:17" x14ac:dyDescent="0.25">
      <c r="A171" s="52"/>
      <c r="B171" s="53" t="s">
        <v>55</v>
      </c>
      <c r="C171" s="54">
        <v>45805</v>
      </c>
      <c r="D171" s="92">
        <v>8.25</v>
      </c>
      <c r="E171" s="92">
        <v>8.25</v>
      </c>
      <c r="F171" s="92">
        <v>8.25</v>
      </c>
      <c r="G171" s="92">
        <v>8.25</v>
      </c>
      <c r="H171" s="92">
        <v>8.25</v>
      </c>
      <c r="I171" s="92">
        <v>8.25</v>
      </c>
      <c r="J171" s="92">
        <v>8.25</v>
      </c>
      <c r="K171" s="92">
        <v>8.25</v>
      </c>
      <c r="L171" s="92">
        <v>8.25</v>
      </c>
      <c r="M171" s="77">
        <v>0</v>
      </c>
      <c r="N171" s="92">
        <v>8.25</v>
      </c>
      <c r="O171" s="92">
        <v>8.25</v>
      </c>
      <c r="P171" s="77">
        <v>0</v>
      </c>
      <c r="Q171" s="93">
        <v>8.25</v>
      </c>
    </row>
    <row r="172" spans="1:17" x14ac:dyDescent="0.25">
      <c r="A172" s="52"/>
      <c r="B172" s="53" t="s">
        <v>56</v>
      </c>
      <c r="C172" s="54">
        <v>45806</v>
      </c>
      <c r="D172" s="92">
        <v>8.25</v>
      </c>
      <c r="E172" s="92">
        <v>8.25</v>
      </c>
      <c r="F172" s="92">
        <v>8.25</v>
      </c>
      <c r="G172" s="92">
        <v>8.25</v>
      </c>
      <c r="H172" s="92">
        <v>8.25</v>
      </c>
      <c r="I172" s="92">
        <v>8.25</v>
      </c>
      <c r="J172" s="92">
        <v>8.25</v>
      </c>
      <c r="K172" s="92">
        <v>8.25</v>
      </c>
      <c r="L172" s="92">
        <v>8.25</v>
      </c>
      <c r="M172" s="77">
        <v>0</v>
      </c>
      <c r="N172" s="92">
        <v>8.25</v>
      </c>
      <c r="O172" s="92">
        <v>8.25</v>
      </c>
      <c r="P172" s="77">
        <v>0</v>
      </c>
      <c r="Q172" s="93">
        <v>8.25</v>
      </c>
    </row>
    <row r="173" spans="1:17" x14ac:dyDescent="0.25">
      <c r="A173" s="52"/>
      <c r="B173" s="53" t="s">
        <v>57</v>
      </c>
      <c r="C173" s="54">
        <v>45807</v>
      </c>
      <c r="D173" s="92">
        <v>7</v>
      </c>
      <c r="E173" s="92">
        <v>7</v>
      </c>
      <c r="F173" s="92">
        <v>7</v>
      </c>
      <c r="G173" s="92">
        <v>7</v>
      </c>
      <c r="H173" s="92">
        <v>7</v>
      </c>
      <c r="I173" s="92">
        <v>7</v>
      </c>
      <c r="J173" s="92">
        <v>7</v>
      </c>
      <c r="K173" s="92">
        <v>7</v>
      </c>
      <c r="L173" s="92">
        <v>7</v>
      </c>
      <c r="M173" s="77">
        <v>0</v>
      </c>
      <c r="N173" s="92">
        <v>7</v>
      </c>
      <c r="O173" s="92">
        <v>7</v>
      </c>
      <c r="P173" s="77">
        <v>0</v>
      </c>
      <c r="Q173" s="93">
        <v>7</v>
      </c>
    </row>
    <row r="174" spans="1:17" ht="15.75" thickBot="1" x14ac:dyDescent="0.3">
      <c r="A174" s="49"/>
      <c r="B174" s="73" t="s">
        <v>58</v>
      </c>
      <c r="C174" s="74">
        <v>45808</v>
      </c>
      <c r="D174" s="75">
        <v>0</v>
      </c>
      <c r="E174" s="75">
        <v>0</v>
      </c>
      <c r="F174" s="75">
        <v>0</v>
      </c>
      <c r="G174" s="75">
        <v>0</v>
      </c>
      <c r="H174" s="75">
        <v>0</v>
      </c>
      <c r="I174" s="75">
        <v>0</v>
      </c>
      <c r="J174" s="75">
        <v>0</v>
      </c>
      <c r="K174" s="78">
        <v>0</v>
      </c>
      <c r="L174" s="75">
        <v>0</v>
      </c>
      <c r="M174" s="75">
        <v>0</v>
      </c>
      <c r="N174" s="75">
        <v>0</v>
      </c>
      <c r="O174" s="75">
        <v>0</v>
      </c>
      <c r="P174" s="78">
        <v>0</v>
      </c>
      <c r="Q174" s="76">
        <v>0</v>
      </c>
    </row>
    <row r="175" spans="1:17" x14ac:dyDescent="0.25">
      <c r="A175" s="49"/>
      <c r="B175" s="69" t="s">
        <v>59</v>
      </c>
      <c r="C175" s="70">
        <v>45809</v>
      </c>
      <c r="D175" s="71">
        <v>0</v>
      </c>
      <c r="E175" s="71">
        <v>0</v>
      </c>
      <c r="F175" s="71">
        <v>0</v>
      </c>
      <c r="G175" s="71">
        <v>0</v>
      </c>
      <c r="H175" s="71">
        <v>0</v>
      </c>
      <c r="I175" s="71">
        <v>0</v>
      </c>
      <c r="J175" s="71">
        <v>0</v>
      </c>
      <c r="K175" s="79">
        <v>0</v>
      </c>
      <c r="L175" s="71">
        <v>0</v>
      </c>
      <c r="M175" s="71">
        <v>0</v>
      </c>
      <c r="N175" s="71">
        <v>0</v>
      </c>
      <c r="O175" s="71">
        <v>0</v>
      </c>
      <c r="P175" s="79">
        <v>0</v>
      </c>
      <c r="Q175" s="72">
        <v>0</v>
      </c>
    </row>
    <row r="176" spans="1:17" x14ac:dyDescent="0.25">
      <c r="A176" s="52"/>
      <c r="B176" s="53" t="s">
        <v>60</v>
      </c>
      <c r="C176" s="54">
        <v>45810</v>
      </c>
      <c r="D176" s="92">
        <v>8.25</v>
      </c>
      <c r="E176" s="92">
        <v>8.25</v>
      </c>
      <c r="F176" s="92">
        <v>8.25</v>
      </c>
      <c r="G176" s="92">
        <v>8.25</v>
      </c>
      <c r="H176" s="92">
        <v>8.25</v>
      </c>
      <c r="I176" s="92">
        <v>8.25</v>
      </c>
      <c r="J176" s="92">
        <v>8.25</v>
      </c>
      <c r="K176" s="77">
        <v>0</v>
      </c>
      <c r="L176" s="92">
        <v>8.25</v>
      </c>
      <c r="M176" s="92">
        <v>8.25</v>
      </c>
      <c r="N176" s="92">
        <v>8.25</v>
      </c>
      <c r="O176" s="92">
        <v>8.25</v>
      </c>
      <c r="P176" s="92">
        <v>8.25</v>
      </c>
      <c r="Q176" s="93">
        <v>8.25</v>
      </c>
    </row>
    <row r="177" spans="1:18" x14ac:dyDescent="0.25">
      <c r="A177" s="52"/>
      <c r="B177" s="53" t="s">
        <v>61</v>
      </c>
      <c r="C177" s="54">
        <v>45811</v>
      </c>
      <c r="D177" s="92">
        <v>8.25</v>
      </c>
      <c r="E177" s="92">
        <v>8.25</v>
      </c>
      <c r="F177" s="92">
        <v>8.25</v>
      </c>
      <c r="G177" s="92">
        <v>8.25</v>
      </c>
      <c r="H177" s="92">
        <v>8.25</v>
      </c>
      <c r="I177" s="92">
        <v>8.25</v>
      </c>
      <c r="J177" s="92">
        <v>8.25</v>
      </c>
      <c r="K177" s="77">
        <v>0</v>
      </c>
      <c r="L177" s="92">
        <v>8.25</v>
      </c>
      <c r="M177" s="92">
        <v>8.25</v>
      </c>
      <c r="N177" s="92">
        <v>8.25</v>
      </c>
      <c r="O177" s="92">
        <v>8.25</v>
      </c>
      <c r="P177" s="92">
        <v>8.25</v>
      </c>
      <c r="Q177" s="93">
        <v>8.25</v>
      </c>
    </row>
    <row r="178" spans="1:18" x14ac:dyDescent="0.25">
      <c r="A178" s="52"/>
      <c r="B178" s="53" t="s">
        <v>55</v>
      </c>
      <c r="C178" s="54">
        <v>45812</v>
      </c>
      <c r="D178" s="92">
        <v>8.25</v>
      </c>
      <c r="E178" s="92">
        <v>8.25</v>
      </c>
      <c r="F178" s="92">
        <v>8.25</v>
      </c>
      <c r="G178" s="92">
        <v>8.25</v>
      </c>
      <c r="H178" s="92">
        <v>8.25</v>
      </c>
      <c r="I178" s="92">
        <v>8.25</v>
      </c>
      <c r="J178" s="92">
        <v>8.25</v>
      </c>
      <c r="K178" s="77">
        <v>0</v>
      </c>
      <c r="L178" s="92">
        <v>8.25</v>
      </c>
      <c r="M178" s="92">
        <v>8.25</v>
      </c>
      <c r="N178" s="92">
        <v>8.25</v>
      </c>
      <c r="O178" s="92">
        <v>8.25</v>
      </c>
      <c r="P178" s="92">
        <v>8.25</v>
      </c>
      <c r="Q178" s="93">
        <v>8.25</v>
      </c>
    </row>
    <row r="179" spans="1:18" x14ac:dyDescent="0.25">
      <c r="A179" s="52"/>
      <c r="B179" s="53" t="s">
        <v>56</v>
      </c>
      <c r="C179" s="54">
        <v>45813</v>
      </c>
      <c r="D179" s="92">
        <v>8.25</v>
      </c>
      <c r="E179" s="92">
        <v>8.25</v>
      </c>
      <c r="F179" s="92">
        <v>8.25</v>
      </c>
      <c r="G179" s="92">
        <v>8.25</v>
      </c>
      <c r="H179" s="92">
        <v>8.25</v>
      </c>
      <c r="I179" s="92">
        <v>8.25</v>
      </c>
      <c r="J179" s="92">
        <v>8.25</v>
      </c>
      <c r="K179" s="92">
        <v>8.25</v>
      </c>
      <c r="L179" s="92">
        <v>8.25</v>
      </c>
      <c r="M179" s="92">
        <v>8.25</v>
      </c>
      <c r="N179" s="92">
        <v>8.25</v>
      </c>
      <c r="O179" s="92">
        <v>8.25</v>
      </c>
      <c r="P179" s="92">
        <v>8.25</v>
      </c>
      <c r="Q179" s="93">
        <v>8.25</v>
      </c>
    </row>
    <row r="180" spans="1:18" x14ac:dyDescent="0.25">
      <c r="A180" s="52"/>
      <c r="B180" s="53" t="s">
        <v>57</v>
      </c>
      <c r="C180" s="54">
        <v>45814</v>
      </c>
      <c r="D180" s="92">
        <v>7</v>
      </c>
      <c r="E180" s="92">
        <v>7</v>
      </c>
      <c r="F180" s="92">
        <v>7</v>
      </c>
      <c r="G180" s="92">
        <v>7</v>
      </c>
      <c r="H180" s="92">
        <v>7</v>
      </c>
      <c r="I180" s="92">
        <v>7</v>
      </c>
      <c r="J180" s="92">
        <v>7</v>
      </c>
      <c r="K180" s="92">
        <v>7</v>
      </c>
      <c r="L180" s="92">
        <v>7</v>
      </c>
      <c r="M180" s="92">
        <v>7</v>
      </c>
      <c r="N180" s="92">
        <v>7</v>
      </c>
      <c r="O180" s="92">
        <v>7</v>
      </c>
      <c r="P180" s="92">
        <v>7</v>
      </c>
      <c r="Q180" s="93">
        <v>7</v>
      </c>
    </row>
    <row r="181" spans="1:18" x14ac:dyDescent="0.25">
      <c r="A181" s="49"/>
      <c r="B181" s="65" t="s">
        <v>58</v>
      </c>
      <c r="C181" s="66">
        <v>45815</v>
      </c>
      <c r="D181" s="67">
        <v>0</v>
      </c>
      <c r="E181" s="67">
        <v>0</v>
      </c>
      <c r="F181" s="67">
        <v>0</v>
      </c>
      <c r="G181" s="67">
        <v>0</v>
      </c>
      <c r="H181" s="67">
        <v>0</v>
      </c>
      <c r="I181" s="67">
        <v>0</v>
      </c>
      <c r="J181" s="67">
        <v>0</v>
      </c>
      <c r="K181" s="67">
        <v>0</v>
      </c>
      <c r="L181" s="67">
        <v>0</v>
      </c>
      <c r="M181" s="67">
        <v>0</v>
      </c>
      <c r="N181" s="67">
        <v>0</v>
      </c>
      <c r="O181" s="67">
        <v>0</v>
      </c>
      <c r="P181" s="67">
        <v>0</v>
      </c>
      <c r="Q181" s="68">
        <v>0</v>
      </c>
    </row>
    <row r="182" spans="1:18" x14ac:dyDescent="0.25">
      <c r="A182" s="49"/>
      <c r="B182" s="65" t="s">
        <v>59</v>
      </c>
      <c r="C182" s="66">
        <v>45816</v>
      </c>
      <c r="D182" s="67">
        <v>0</v>
      </c>
      <c r="E182" s="67">
        <v>0</v>
      </c>
      <c r="F182" s="77">
        <v>0</v>
      </c>
      <c r="G182" s="67">
        <v>0</v>
      </c>
      <c r="H182" s="67">
        <v>0</v>
      </c>
      <c r="I182" s="67">
        <v>0</v>
      </c>
      <c r="J182" s="67">
        <v>0</v>
      </c>
      <c r="K182" s="67">
        <v>0</v>
      </c>
      <c r="L182" s="67">
        <v>0</v>
      </c>
      <c r="M182" s="67">
        <v>0</v>
      </c>
      <c r="N182" s="67">
        <v>0</v>
      </c>
      <c r="O182" s="67">
        <v>0</v>
      </c>
      <c r="P182" s="67">
        <v>0</v>
      </c>
      <c r="Q182" s="68">
        <v>0</v>
      </c>
    </row>
    <row r="183" spans="1:18" x14ac:dyDescent="0.25">
      <c r="A183" s="52"/>
      <c r="B183" s="53" t="s">
        <v>60</v>
      </c>
      <c r="C183" s="54">
        <v>45817</v>
      </c>
      <c r="D183" s="92">
        <v>8.25</v>
      </c>
      <c r="E183" s="92">
        <v>8.25</v>
      </c>
      <c r="F183" s="77">
        <v>0</v>
      </c>
      <c r="G183" s="92">
        <v>8.25</v>
      </c>
      <c r="H183" s="92">
        <v>8.25</v>
      </c>
      <c r="I183" s="92">
        <v>8.25</v>
      </c>
      <c r="J183" s="92">
        <v>8.25</v>
      </c>
      <c r="K183" s="92">
        <v>8.25</v>
      </c>
      <c r="L183" s="92">
        <v>8.25</v>
      </c>
      <c r="M183" s="92">
        <v>8.25</v>
      </c>
      <c r="N183" s="92">
        <v>8.25</v>
      </c>
      <c r="O183" s="92">
        <v>8.25</v>
      </c>
      <c r="P183" s="92">
        <v>8.25</v>
      </c>
      <c r="Q183" s="93">
        <v>8.25</v>
      </c>
    </row>
    <row r="184" spans="1:18" x14ac:dyDescent="0.25">
      <c r="A184" s="52"/>
      <c r="B184" s="53" t="s">
        <v>61</v>
      </c>
      <c r="C184" s="54">
        <v>45818</v>
      </c>
      <c r="D184" s="92">
        <v>8.25</v>
      </c>
      <c r="E184" s="92">
        <v>8.25</v>
      </c>
      <c r="F184" s="77">
        <v>0</v>
      </c>
      <c r="G184" s="92">
        <v>8.25</v>
      </c>
      <c r="H184" s="92">
        <v>8.25</v>
      </c>
      <c r="I184" s="92">
        <v>8.25</v>
      </c>
      <c r="J184" s="92">
        <v>8.25</v>
      </c>
      <c r="K184" s="92">
        <v>8.25</v>
      </c>
      <c r="L184" s="92">
        <v>8.25</v>
      </c>
      <c r="M184" s="92">
        <v>8.25</v>
      </c>
      <c r="N184" s="92">
        <v>8.25</v>
      </c>
      <c r="O184" s="92">
        <v>8.25</v>
      </c>
      <c r="P184" s="92">
        <v>8.25</v>
      </c>
      <c r="Q184" s="93">
        <v>8.25</v>
      </c>
    </row>
    <row r="185" spans="1:18" x14ac:dyDescent="0.25">
      <c r="A185" s="52"/>
      <c r="B185" s="53" t="s">
        <v>55</v>
      </c>
      <c r="C185" s="54">
        <v>45819</v>
      </c>
      <c r="D185" s="92">
        <v>7.25</v>
      </c>
      <c r="E185" s="92">
        <v>7.25</v>
      </c>
      <c r="F185" s="77">
        <v>0</v>
      </c>
      <c r="G185" s="92">
        <v>7.25</v>
      </c>
      <c r="H185" s="92">
        <v>7.25</v>
      </c>
      <c r="I185" s="92">
        <v>7.25</v>
      </c>
      <c r="J185" s="92">
        <v>7.25</v>
      </c>
      <c r="K185" s="92">
        <v>7.25</v>
      </c>
      <c r="L185" s="92">
        <v>7.25</v>
      </c>
      <c r="M185" s="92">
        <v>7.25</v>
      </c>
      <c r="N185" s="92">
        <v>7.25</v>
      </c>
      <c r="O185" s="92">
        <v>7.25</v>
      </c>
      <c r="P185" s="92">
        <v>7.25</v>
      </c>
      <c r="Q185" s="93">
        <v>7.25</v>
      </c>
      <c r="R185" s="40"/>
    </row>
    <row r="186" spans="1:18" x14ac:dyDescent="0.25">
      <c r="A186" s="49"/>
      <c r="B186" s="65" t="s">
        <v>56</v>
      </c>
      <c r="C186" s="66">
        <v>45820</v>
      </c>
      <c r="D186" s="67">
        <v>0</v>
      </c>
      <c r="E186" s="67">
        <v>0</v>
      </c>
      <c r="F186" s="67">
        <v>0</v>
      </c>
      <c r="G186" s="67">
        <v>0</v>
      </c>
      <c r="H186" s="67">
        <v>0</v>
      </c>
      <c r="I186" s="67">
        <v>0</v>
      </c>
      <c r="J186" s="67">
        <v>0</v>
      </c>
      <c r="K186" s="67">
        <v>0</v>
      </c>
      <c r="L186" s="67">
        <v>0</v>
      </c>
      <c r="M186" s="67">
        <v>0</v>
      </c>
      <c r="N186" s="67">
        <v>0</v>
      </c>
      <c r="O186" s="67">
        <v>0</v>
      </c>
      <c r="P186" s="67">
        <v>0</v>
      </c>
      <c r="Q186" s="68">
        <v>0</v>
      </c>
      <c r="R186" s="40"/>
    </row>
    <row r="187" spans="1:18" x14ac:dyDescent="0.25">
      <c r="A187" s="49"/>
      <c r="B187" s="65" t="s">
        <v>57</v>
      </c>
      <c r="C187" s="66">
        <v>45821</v>
      </c>
      <c r="D187" s="67">
        <v>0</v>
      </c>
      <c r="E187" s="67">
        <v>0</v>
      </c>
      <c r="F187" s="67">
        <v>0</v>
      </c>
      <c r="G187" s="67">
        <v>0</v>
      </c>
      <c r="H187" s="67">
        <v>0</v>
      </c>
      <c r="I187" s="67">
        <v>0</v>
      </c>
      <c r="J187" s="67">
        <v>0</v>
      </c>
      <c r="K187" s="67">
        <v>0</v>
      </c>
      <c r="L187" s="67">
        <v>0</v>
      </c>
      <c r="M187" s="67">
        <v>0</v>
      </c>
      <c r="N187" s="67">
        <v>0</v>
      </c>
      <c r="O187" s="67">
        <v>0</v>
      </c>
      <c r="P187" s="67">
        <v>0</v>
      </c>
      <c r="Q187" s="68">
        <v>0</v>
      </c>
      <c r="R187" s="40"/>
    </row>
    <row r="188" spans="1:18" x14ac:dyDescent="0.25">
      <c r="A188" s="49"/>
      <c r="B188" s="65" t="s">
        <v>58</v>
      </c>
      <c r="C188" s="66">
        <v>45822</v>
      </c>
      <c r="D188" s="67">
        <v>0</v>
      </c>
      <c r="E188" s="67">
        <v>0</v>
      </c>
      <c r="F188" s="67">
        <v>0</v>
      </c>
      <c r="G188" s="67">
        <v>0</v>
      </c>
      <c r="H188" s="77">
        <v>0</v>
      </c>
      <c r="I188" s="67">
        <v>0</v>
      </c>
      <c r="J188" s="67">
        <v>0</v>
      </c>
      <c r="K188" s="67">
        <v>0</v>
      </c>
      <c r="L188" s="67">
        <v>0</v>
      </c>
      <c r="M188" s="67">
        <v>0</v>
      </c>
      <c r="N188" s="67">
        <v>0</v>
      </c>
      <c r="O188" s="67">
        <v>0</v>
      </c>
      <c r="P188" s="67">
        <v>0</v>
      </c>
      <c r="Q188" s="68">
        <v>0</v>
      </c>
    </row>
    <row r="189" spans="1:18" x14ac:dyDescent="0.25">
      <c r="A189" s="49"/>
      <c r="B189" s="65" t="s">
        <v>59</v>
      </c>
      <c r="C189" s="66">
        <v>45823</v>
      </c>
      <c r="D189" s="67">
        <v>0</v>
      </c>
      <c r="E189" s="77">
        <v>0</v>
      </c>
      <c r="F189" s="67">
        <v>0</v>
      </c>
      <c r="G189" s="67">
        <v>0</v>
      </c>
      <c r="H189" s="77">
        <v>0</v>
      </c>
      <c r="I189" s="67">
        <v>0</v>
      </c>
      <c r="J189" s="67">
        <v>0</v>
      </c>
      <c r="K189" s="67">
        <v>0</v>
      </c>
      <c r="L189" s="67">
        <v>0</v>
      </c>
      <c r="M189" s="67">
        <v>0</v>
      </c>
      <c r="N189" s="67">
        <v>0</v>
      </c>
      <c r="O189" s="67">
        <v>0</v>
      </c>
      <c r="P189" s="67">
        <v>0</v>
      </c>
      <c r="Q189" s="68">
        <v>0</v>
      </c>
    </row>
    <row r="190" spans="1:18" x14ac:dyDescent="0.25">
      <c r="A190" s="52"/>
      <c r="B190" s="53" t="s">
        <v>60</v>
      </c>
      <c r="C190" s="54">
        <v>45824</v>
      </c>
      <c r="D190" s="92">
        <v>8.25</v>
      </c>
      <c r="E190" s="77">
        <v>0</v>
      </c>
      <c r="F190" s="92">
        <v>8.25</v>
      </c>
      <c r="G190" s="92">
        <v>8.25</v>
      </c>
      <c r="H190" s="77">
        <v>0</v>
      </c>
      <c r="I190" s="92">
        <v>8.25</v>
      </c>
      <c r="J190" s="92">
        <v>8.25</v>
      </c>
      <c r="K190" s="92">
        <v>8.25</v>
      </c>
      <c r="L190" s="92">
        <v>8.25</v>
      </c>
      <c r="M190" s="92">
        <v>8.25</v>
      </c>
      <c r="N190" s="92">
        <v>8.25</v>
      </c>
      <c r="O190" s="92">
        <v>8.25</v>
      </c>
      <c r="P190" s="92">
        <v>8.25</v>
      </c>
      <c r="Q190" s="93">
        <v>8.25</v>
      </c>
    </row>
    <row r="191" spans="1:18" x14ac:dyDescent="0.25">
      <c r="A191" s="52"/>
      <c r="B191" s="53" t="s">
        <v>61</v>
      </c>
      <c r="C191" s="54">
        <v>45825</v>
      </c>
      <c r="D191" s="92">
        <v>8.25</v>
      </c>
      <c r="E191" s="77">
        <v>0</v>
      </c>
      <c r="F191" s="92">
        <v>8.25</v>
      </c>
      <c r="G191" s="92">
        <v>8.25</v>
      </c>
      <c r="H191" s="77">
        <v>0</v>
      </c>
      <c r="I191" s="92">
        <v>8.25</v>
      </c>
      <c r="J191" s="92">
        <v>8.25</v>
      </c>
      <c r="K191" s="92">
        <v>8.25</v>
      </c>
      <c r="L191" s="92">
        <v>8.25</v>
      </c>
      <c r="M191" s="92">
        <v>8.25</v>
      </c>
      <c r="N191" s="92">
        <v>8.25</v>
      </c>
      <c r="O191" s="92">
        <v>8.25</v>
      </c>
      <c r="P191" s="92">
        <v>8.25</v>
      </c>
      <c r="Q191" s="93">
        <v>8.25</v>
      </c>
    </row>
    <row r="192" spans="1:18" x14ac:dyDescent="0.25">
      <c r="A192" s="52"/>
      <c r="B192" s="53" t="s">
        <v>55</v>
      </c>
      <c r="C192" s="54">
        <v>45826</v>
      </c>
      <c r="D192" s="92">
        <v>8.25</v>
      </c>
      <c r="E192" s="77">
        <v>0</v>
      </c>
      <c r="F192" s="92">
        <v>8.25</v>
      </c>
      <c r="G192" s="92">
        <v>8.25</v>
      </c>
      <c r="H192" s="77">
        <v>0</v>
      </c>
      <c r="I192" s="92">
        <v>8.25</v>
      </c>
      <c r="J192" s="92">
        <v>8.25</v>
      </c>
      <c r="K192" s="92">
        <v>8.25</v>
      </c>
      <c r="L192" s="92">
        <v>8.25</v>
      </c>
      <c r="M192" s="92">
        <v>8.25</v>
      </c>
      <c r="N192" s="92">
        <v>8.25</v>
      </c>
      <c r="O192" s="92">
        <v>8.25</v>
      </c>
      <c r="P192" s="92">
        <v>8.25</v>
      </c>
      <c r="Q192" s="93">
        <v>8.25</v>
      </c>
    </row>
    <row r="193" spans="1:17" x14ac:dyDescent="0.25">
      <c r="A193" s="52"/>
      <c r="B193" s="53" t="s">
        <v>56</v>
      </c>
      <c r="C193" s="54">
        <v>45827</v>
      </c>
      <c r="D193" s="92">
        <v>8.25</v>
      </c>
      <c r="E193" s="92">
        <v>8.25</v>
      </c>
      <c r="F193" s="92">
        <v>8.25</v>
      </c>
      <c r="G193" s="92">
        <v>8.25</v>
      </c>
      <c r="H193" s="92">
        <v>8.25</v>
      </c>
      <c r="I193" s="92">
        <v>8.25</v>
      </c>
      <c r="J193" s="92">
        <v>8.25</v>
      </c>
      <c r="K193" s="92">
        <v>8.25</v>
      </c>
      <c r="L193" s="92">
        <v>8.25</v>
      </c>
      <c r="M193" s="92">
        <v>8.25</v>
      </c>
      <c r="N193" s="92">
        <v>8.25</v>
      </c>
      <c r="O193" s="92">
        <v>8.25</v>
      </c>
      <c r="P193" s="92">
        <v>8.25</v>
      </c>
      <c r="Q193" s="93">
        <v>8.25</v>
      </c>
    </row>
    <row r="194" spans="1:17" x14ac:dyDescent="0.25">
      <c r="A194" s="52"/>
      <c r="B194" s="53" t="s">
        <v>57</v>
      </c>
      <c r="C194" s="54">
        <v>45828</v>
      </c>
      <c r="D194" s="92">
        <v>7</v>
      </c>
      <c r="E194" s="92">
        <v>7</v>
      </c>
      <c r="F194" s="92">
        <v>7</v>
      </c>
      <c r="G194" s="92">
        <v>7</v>
      </c>
      <c r="H194" s="92">
        <v>7</v>
      </c>
      <c r="I194" s="92">
        <v>7</v>
      </c>
      <c r="J194" s="92">
        <v>7</v>
      </c>
      <c r="K194" s="92">
        <v>7</v>
      </c>
      <c r="L194" s="92">
        <v>7</v>
      </c>
      <c r="M194" s="92">
        <v>7</v>
      </c>
      <c r="N194" s="92">
        <v>7</v>
      </c>
      <c r="O194" s="92">
        <v>7</v>
      </c>
      <c r="P194" s="92">
        <v>7</v>
      </c>
      <c r="Q194" s="93">
        <v>7</v>
      </c>
    </row>
    <row r="195" spans="1:17" x14ac:dyDescent="0.25">
      <c r="A195" s="49"/>
      <c r="B195" s="65" t="s">
        <v>58</v>
      </c>
      <c r="C195" s="66">
        <v>45829</v>
      </c>
      <c r="D195" s="67">
        <v>0</v>
      </c>
      <c r="E195" s="67">
        <v>0</v>
      </c>
      <c r="F195" s="67">
        <v>0</v>
      </c>
      <c r="G195" s="67">
        <v>0</v>
      </c>
      <c r="H195" s="67">
        <v>0</v>
      </c>
      <c r="I195" s="67">
        <v>0</v>
      </c>
      <c r="J195" s="67">
        <v>0</v>
      </c>
      <c r="K195" s="67">
        <v>0</v>
      </c>
      <c r="L195" s="67">
        <v>0</v>
      </c>
      <c r="M195" s="67">
        <v>0</v>
      </c>
      <c r="N195" s="67">
        <v>0</v>
      </c>
      <c r="O195" s="67">
        <v>0</v>
      </c>
      <c r="P195" s="67">
        <v>0</v>
      </c>
      <c r="Q195" s="68">
        <v>0</v>
      </c>
    </row>
    <row r="196" spans="1:17" x14ac:dyDescent="0.25">
      <c r="A196" s="49"/>
      <c r="B196" s="65" t="s">
        <v>59</v>
      </c>
      <c r="C196" s="66">
        <v>45830</v>
      </c>
      <c r="D196" s="67">
        <v>0</v>
      </c>
      <c r="E196" s="67">
        <v>0</v>
      </c>
      <c r="F196" s="67">
        <v>0</v>
      </c>
      <c r="G196" s="67">
        <v>0</v>
      </c>
      <c r="H196" s="67">
        <v>0</v>
      </c>
      <c r="I196" s="67">
        <v>0</v>
      </c>
      <c r="J196" s="67">
        <v>0</v>
      </c>
      <c r="K196" s="67">
        <v>0</v>
      </c>
      <c r="L196" s="67">
        <v>0</v>
      </c>
      <c r="M196" s="67">
        <v>0</v>
      </c>
      <c r="N196" s="67">
        <v>0</v>
      </c>
      <c r="O196" s="67">
        <v>0</v>
      </c>
      <c r="P196" s="67">
        <v>0</v>
      </c>
      <c r="Q196" s="68">
        <v>0</v>
      </c>
    </row>
    <row r="197" spans="1:17" x14ac:dyDescent="0.25">
      <c r="A197" s="52"/>
      <c r="B197" s="53" t="s">
        <v>60</v>
      </c>
      <c r="C197" s="54">
        <v>45831</v>
      </c>
      <c r="D197" s="92">
        <v>8.25</v>
      </c>
      <c r="E197" s="92">
        <v>8.25</v>
      </c>
      <c r="F197" s="92">
        <v>8.25</v>
      </c>
      <c r="G197" s="92">
        <v>8.25</v>
      </c>
      <c r="H197" s="92">
        <v>8.25</v>
      </c>
      <c r="I197" s="92">
        <v>8.25</v>
      </c>
      <c r="J197" s="92">
        <v>8.25</v>
      </c>
      <c r="K197" s="92">
        <v>8.25</v>
      </c>
      <c r="L197" s="92">
        <v>8.25</v>
      </c>
      <c r="M197" s="92">
        <v>8.25</v>
      </c>
      <c r="N197" s="92">
        <v>8.25</v>
      </c>
      <c r="O197" s="92">
        <v>8.25</v>
      </c>
      <c r="P197" s="92">
        <v>8.25</v>
      </c>
      <c r="Q197" s="93">
        <v>8.25</v>
      </c>
    </row>
    <row r="198" spans="1:17" x14ac:dyDescent="0.25">
      <c r="A198" s="52"/>
      <c r="B198" s="53" t="s">
        <v>61</v>
      </c>
      <c r="C198" s="54">
        <v>45832</v>
      </c>
      <c r="D198" s="92">
        <v>8.25</v>
      </c>
      <c r="E198" s="92">
        <v>8.25</v>
      </c>
      <c r="F198" s="92">
        <v>8.25</v>
      </c>
      <c r="G198" s="92">
        <v>8.25</v>
      </c>
      <c r="H198" s="92">
        <v>8.25</v>
      </c>
      <c r="I198" s="92">
        <v>8.25</v>
      </c>
      <c r="J198" s="92">
        <v>8.25</v>
      </c>
      <c r="K198" s="92">
        <v>8.25</v>
      </c>
      <c r="L198" s="92">
        <v>8.25</v>
      </c>
      <c r="M198" s="92">
        <v>8.25</v>
      </c>
      <c r="N198" s="92">
        <v>8.25</v>
      </c>
      <c r="O198" s="92">
        <v>8.25</v>
      </c>
      <c r="P198" s="92">
        <v>8.25</v>
      </c>
      <c r="Q198" s="93">
        <v>8.25</v>
      </c>
    </row>
    <row r="199" spans="1:17" x14ac:dyDescent="0.25">
      <c r="A199" s="52"/>
      <c r="B199" s="53" t="s">
        <v>55</v>
      </c>
      <c r="C199" s="54">
        <v>45833</v>
      </c>
      <c r="D199" s="92">
        <v>8.25</v>
      </c>
      <c r="E199" s="92">
        <v>8.25</v>
      </c>
      <c r="F199" s="92">
        <v>8.25</v>
      </c>
      <c r="G199" s="92">
        <v>8.25</v>
      </c>
      <c r="H199" s="92">
        <v>8.25</v>
      </c>
      <c r="I199" s="92">
        <v>8.25</v>
      </c>
      <c r="J199" s="92">
        <v>8.25</v>
      </c>
      <c r="K199" s="92">
        <v>8.25</v>
      </c>
      <c r="L199" s="92">
        <v>8.25</v>
      </c>
      <c r="M199" s="92">
        <v>8.25</v>
      </c>
      <c r="N199" s="92">
        <v>8.25</v>
      </c>
      <c r="O199" s="92">
        <v>8.25</v>
      </c>
      <c r="P199" s="92">
        <v>8.25</v>
      </c>
      <c r="Q199" s="93">
        <v>8.25</v>
      </c>
    </row>
    <row r="200" spans="1:17" x14ac:dyDescent="0.25">
      <c r="A200" s="52"/>
      <c r="B200" s="53" t="s">
        <v>56</v>
      </c>
      <c r="C200" s="54">
        <v>45834</v>
      </c>
      <c r="D200" s="92">
        <v>8.25</v>
      </c>
      <c r="E200" s="92">
        <v>8.25</v>
      </c>
      <c r="F200" s="92">
        <v>8.25</v>
      </c>
      <c r="G200" s="92">
        <v>8.25</v>
      </c>
      <c r="H200" s="92">
        <v>8.25</v>
      </c>
      <c r="I200" s="92">
        <v>8.25</v>
      </c>
      <c r="J200" s="92">
        <v>8.25</v>
      </c>
      <c r="K200" s="92">
        <v>8.25</v>
      </c>
      <c r="L200" s="92">
        <v>8.25</v>
      </c>
      <c r="M200" s="92">
        <v>8.25</v>
      </c>
      <c r="N200" s="92">
        <v>8.25</v>
      </c>
      <c r="O200" s="92">
        <v>8.25</v>
      </c>
      <c r="P200" s="92">
        <v>8.25</v>
      </c>
      <c r="Q200" s="93">
        <v>8.25</v>
      </c>
    </row>
    <row r="201" spans="1:17" x14ac:dyDescent="0.25">
      <c r="A201" s="52"/>
      <c r="B201" s="53" t="s">
        <v>57</v>
      </c>
      <c r="C201" s="54">
        <v>45835</v>
      </c>
      <c r="D201" s="92">
        <v>7</v>
      </c>
      <c r="E201" s="92">
        <v>7</v>
      </c>
      <c r="F201" s="92">
        <v>7</v>
      </c>
      <c r="G201" s="92">
        <v>7</v>
      </c>
      <c r="H201" s="92">
        <v>7</v>
      </c>
      <c r="I201" s="92">
        <v>7</v>
      </c>
      <c r="J201" s="92">
        <v>7</v>
      </c>
      <c r="K201" s="92">
        <v>7</v>
      </c>
      <c r="L201" s="92">
        <v>7</v>
      </c>
      <c r="M201" s="92">
        <v>7</v>
      </c>
      <c r="N201" s="92">
        <v>7</v>
      </c>
      <c r="O201" s="92">
        <v>7</v>
      </c>
      <c r="P201" s="92">
        <v>7</v>
      </c>
      <c r="Q201" s="93">
        <v>7</v>
      </c>
    </row>
    <row r="202" spans="1:17" x14ac:dyDescent="0.25">
      <c r="A202" s="49"/>
      <c r="B202" s="65" t="s">
        <v>58</v>
      </c>
      <c r="C202" s="66">
        <v>45836</v>
      </c>
      <c r="D202" s="67">
        <v>0</v>
      </c>
      <c r="E202" s="67">
        <v>0</v>
      </c>
      <c r="F202" s="67">
        <v>0</v>
      </c>
      <c r="G202" s="67">
        <v>0</v>
      </c>
      <c r="H202" s="67">
        <v>0</v>
      </c>
      <c r="I202" s="67">
        <v>0</v>
      </c>
      <c r="J202" s="67">
        <v>0</v>
      </c>
      <c r="K202" s="67">
        <v>0</v>
      </c>
      <c r="L202" s="67">
        <v>0</v>
      </c>
      <c r="M202" s="67">
        <v>0</v>
      </c>
      <c r="N202" s="67">
        <v>0</v>
      </c>
      <c r="O202" s="67">
        <v>0</v>
      </c>
      <c r="P202" s="67">
        <v>0</v>
      </c>
      <c r="Q202" s="68">
        <v>0</v>
      </c>
    </row>
    <row r="203" spans="1:17" x14ac:dyDescent="0.25">
      <c r="A203" s="49"/>
      <c r="B203" s="65" t="s">
        <v>59</v>
      </c>
      <c r="C203" s="66">
        <v>45837</v>
      </c>
      <c r="D203" s="67">
        <v>0</v>
      </c>
      <c r="E203" s="67">
        <v>0</v>
      </c>
      <c r="F203" s="67">
        <v>0</v>
      </c>
      <c r="G203" s="67">
        <v>0</v>
      </c>
      <c r="H203" s="67">
        <v>0</v>
      </c>
      <c r="I203" s="67">
        <v>0</v>
      </c>
      <c r="J203" s="67">
        <v>0</v>
      </c>
      <c r="K203" s="67">
        <v>0</v>
      </c>
      <c r="L203" s="67">
        <v>0</v>
      </c>
      <c r="M203" s="67">
        <v>0</v>
      </c>
      <c r="N203" s="67">
        <v>0</v>
      </c>
      <c r="O203" s="67">
        <v>0</v>
      </c>
      <c r="P203" s="67">
        <v>0</v>
      </c>
      <c r="Q203" s="68">
        <v>0</v>
      </c>
    </row>
    <row r="204" spans="1:17" ht="15.75" thickBot="1" x14ac:dyDescent="0.3">
      <c r="A204" s="52"/>
      <c r="B204" s="55" t="s">
        <v>60</v>
      </c>
      <c r="C204" s="56">
        <v>45838</v>
      </c>
      <c r="D204" s="94">
        <v>8.25</v>
      </c>
      <c r="E204" s="94">
        <v>8.25</v>
      </c>
      <c r="F204" s="94">
        <v>8.25</v>
      </c>
      <c r="G204" s="94">
        <v>8.25</v>
      </c>
      <c r="H204" s="94">
        <v>8.25</v>
      </c>
      <c r="I204" s="94">
        <v>8.25</v>
      </c>
      <c r="J204" s="94">
        <v>8.25</v>
      </c>
      <c r="K204" s="94">
        <v>8.25</v>
      </c>
      <c r="L204" s="94">
        <v>8.25</v>
      </c>
      <c r="M204" s="94">
        <v>8.25</v>
      </c>
      <c r="N204" s="94">
        <v>8.25</v>
      </c>
      <c r="O204" s="94">
        <v>8.25</v>
      </c>
      <c r="P204" s="94">
        <v>8.25</v>
      </c>
      <c r="Q204" s="95">
        <v>8.25</v>
      </c>
    </row>
    <row r="205" spans="1:17" x14ac:dyDescent="0.25">
      <c r="A205" s="52"/>
      <c r="B205" s="57" t="s">
        <v>61</v>
      </c>
      <c r="C205" s="58">
        <v>45839</v>
      </c>
      <c r="D205" s="90">
        <v>8.25</v>
      </c>
      <c r="E205" s="90">
        <v>8.25</v>
      </c>
      <c r="F205" s="90">
        <v>8.25</v>
      </c>
      <c r="G205" s="90">
        <v>8.25</v>
      </c>
      <c r="H205" s="90">
        <v>8.25</v>
      </c>
      <c r="I205" s="90">
        <v>8.25</v>
      </c>
      <c r="J205" s="90">
        <v>8.25</v>
      </c>
      <c r="K205" s="90">
        <v>8.25</v>
      </c>
      <c r="L205" s="90">
        <v>8.25</v>
      </c>
      <c r="M205" s="90">
        <v>8.25</v>
      </c>
      <c r="N205" s="90">
        <v>8.25</v>
      </c>
      <c r="O205" s="90">
        <v>8.25</v>
      </c>
      <c r="P205" s="90">
        <v>8.25</v>
      </c>
      <c r="Q205" s="91">
        <v>8.25</v>
      </c>
    </row>
    <row r="206" spans="1:17" x14ac:dyDescent="0.25">
      <c r="A206" s="52"/>
      <c r="B206" s="53" t="s">
        <v>55</v>
      </c>
      <c r="C206" s="54">
        <v>45840</v>
      </c>
      <c r="D206" s="92">
        <v>8.25</v>
      </c>
      <c r="E206" s="92">
        <v>8.25</v>
      </c>
      <c r="F206" s="92">
        <v>8.25</v>
      </c>
      <c r="G206" s="92">
        <v>8.25</v>
      </c>
      <c r="H206" s="92">
        <v>8.25</v>
      </c>
      <c r="I206" s="92">
        <v>8.25</v>
      </c>
      <c r="J206" s="92">
        <v>8.25</v>
      </c>
      <c r="K206" s="92">
        <v>8.25</v>
      </c>
      <c r="L206" s="92">
        <v>8.25</v>
      </c>
      <c r="M206" s="92">
        <v>8.25</v>
      </c>
      <c r="N206" s="92">
        <v>8.25</v>
      </c>
      <c r="O206" s="92">
        <v>8.25</v>
      </c>
      <c r="P206" s="92">
        <v>8.25</v>
      </c>
      <c r="Q206" s="93">
        <v>8.25</v>
      </c>
    </row>
    <row r="207" spans="1:17" x14ac:dyDescent="0.25">
      <c r="A207" s="52"/>
      <c r="B207" s="53" t="s">
        <v>56</v>
      </c>
      <c r="C207" s="54">
        <v>45841</v>
      </c>
      <c r="D207" s="92">
        <v>8.25</v>
      </c>
      <c r="E207" s="92">
        <v>8.25</v>
      </c>
      <c r="F207" s="92">
        <v>8.25</v>
      </c>
      <c r="G207" s="92">
        <v>8.25</v>
      </c>
      <c r="H207" s="92">
        <v>8.25</v>
      </c>
      <c r="I207" s="92">
        <v>8.25</v>
      </c>
      <c r="J207" s="92">
        <v>8.25</v>
      </c>
      <c r="K207" s="92">
        <v>8.25</v>
      </c>
      <c r="L207" s="92">
        <v>8.25</v>
      </c>
      <c r="M207" s="92">
        <v>8.25</v>
      </c>
      <c r="N207" s="92">
        <v>8.25</v>
      </c>
      <c r="O207" s="92">
        <v>8.25</v>
      </c>
      <c r="P207" s="92">
        <v>8.25</v>
      </c>
      <c r="Q207" s="93">
        <v>8.25</v>
      </c>
    </row>
    <row r="208" spans="1:17" x14ac:dyDescent="0.25">
      <c r="A208" s="52"/>
      <c r="B208" s="53" t="s">
        <v>57</v>
      </c>
      <c r="C208" s="54">
        <v>45842</v>
      </c>
      <c r="D208" s="92">
        <v>7</v>
      </c>
      <c r="E208" s="92">
        <v>7</v>
      </c>
      <c r="F208" s="92">
        <v>7</v>
      </c>
      <c r="G208" s="92">
        <v>7</v>
      </c>
      <c r="H208" s="92">
        <v>7</v>
      </c>
      <c r="I208" s="92">
        <v>7</v>
      </c>
      <c r="J208" s="92">
        <v>7</v>
      </c>
      <c r="K208" s="92">
        <v>7</v>
      </c>
      <c r="L208" s="92">
        <v>7</v>
      </c>
      <c r="M208" s="92">
        <v>7</v>
      </c>
      <c r="N208" s="92">
        <v>7</v>
      </c>
      <c r="O208" s="92">
        <v>7</v>
      </c>
      <c r="P208" s="92">
        <v>7</v>
      </c>
      <c r="Q208" s="93">
        <v>7</v>
      </c>
    </row>
    <row r="209" spans="1:17" x14ac:dyDescent="0.25">
      <c r="A209" s="49"/>
      <c r="B209" s="65" t="s">
        <v>58</v>
      </c>
      <c r="C209" s="66">
        <v>45843</v>
      </c>
      <c r="D209" s="67">
        <v>0</v>
      </c>
      <c r="E209" s="67">
        <v>0</v>
      </c>
      <c r="F209" s="67">
        <v>0</v>
      </c>
      <c r="G209" s="67">
        <v>0</v>
      </c>
      <c r="H209" s="67">
        <v>0</v>
      </c>
      <c r="I209" s="67">
        <v>0</v>
      </c>
      <c r="J209" s="67">
        <v>0</v>
      </c>
      <c r="K209" s="67">
        <v>0</v>
      </c>
      <c r="L209" s="67">
        <v>0</v>
      </c>
      <c r="M209" s="67">
        <v>0</v>
      </c>
      <c r="N209" s="67">
        <v>0</v>
      </c>
      <c r="O209" s="67">
        <v>0</v>
      </c>
      <c r="P209" s="67">
        <v>0</v>
      </c>
      <c r="Q209" s="68">
        <v>0</v>
      </c>
    </row>
    <row r="210" spans="1:17" x14ac:dyDescent="0.25">
      <c r="A210" s="49"/>
      <c r="B210" s="65" t="s">
        <v>59</v>
      </c>
      <c r="C210" s="66">
        <v>45844</v>
      </c>
      <c r="D210" s="67">
        <v>0</v>
      </c>
      <c r="E210" s="67">
        <v>0</v>
      </c>
      <c r="F210" s="67">
        <v>0</v>
      </c>
      <c r="G210" s="67">
        <v>0</v>
      </c>
      <c r="H210" s="67">
        <v>0</v>
      </c>
      <c r="I210" s="67">
        <v>0</v>
      </c>
      <c r="J210" s="67">
        <v>0</v>
      </c>
      <c r="K210" s="67">
        <v>0</v>
      </c>
      <c r="L210" s="67">
        <v>0</v>
      </c>
      <c r="M210" s="67">
        <v>0</v>
      </c>
      <c r="N210" s="67">
        <v>0</v>
      </c>
      <c r="O210" s="67">
        <v>0</v>
      </c>
      <c r="P210" s="67">
        <v>0</v>
      </c>
      <c r="Q210" s="68">
        <v>0</v>
      </c>
    </row>
    <row r="211" spans="1:17" x14ac:dyDescent="0.25">
      <c r="A211" s="52"/>
      <c r="B211" s="53" t="s">
        <v>60</v>
      </c>
      <c r="C211" s="54">
        <v>45845</v>
      </c>
      <c r="D211" s="92">
        <v>8.25</v>
      </c>
      <c r="E211" s="92">
        <v>8.25</v>
      </c>
      <c r="F211" s="92">
        <v>8.25</v>
      </c>
      <c r="G211" s="92">
        <v>8.25</v>
      </c>
      <c r="H211" s="92">
        <v>8.25</v>
      </c>
      <c r="I211" s="92">
        <v>8.25</v>
      </c>
      <c r="J211" s="92">
        <v>8.25</v>
      </c>
      <c r="K211" s="92">
        <v>8.25</v>
      </c>
      <c r="L211" s="92">
        <v>8.25</v>
      </c>
      <c r="M211" s="92">
        <v>8.25</v>
      </c>
      <c r="N211" s="92">
        <v>8.25</v>
      </c>
      <c r="O211" s="92">
        <v>8.25</v>
      </c>
      <c r="P211" s="92">
        <v>8.25</v>
      </c>
      <c r="Q211" s="93">
        <v>8.25</v>
      </c>
    </row>
    <row r="212" spans="1:17" x14ac:dyDescent="0.25">
      <c r="A212" s="52"/>
      <c r="B212" s="53" t="s">
        <v>61</v>
      </c>
      <c r="C212" s="54">
        <v>45846</v>
      </c>
      <c r="D212" s="92">
        <v>8.25</v>
      </c>
      <c r="E212" s="92">
        <v>8.25</v>
      </c>
      <c r="F212" s="92">
        <v>8.25</v>
      </c>
      <c r="G212" s="92">
        <v>8.25</v>
      </c>
      <c r="H212" s="92">
        <v>8.25</v>
      </c>
      <c r="I212" s="92">
        <v>8.25</v>
      </c>
      <c r="J212" s="92">
        <v>8.25</v>
      </c>
      <c r="K212" s="92">
        <v>8.25</v>
      </c>
      <c r="L212" s="92">
        <v>8.25</v>
      </c>
      <c r="M212" s="92">
        <v>8.25</v>
      </c>
      <c r="N212" s="92">
        <v>8.25</v>
      </c>
      <c r="O212" s="92">
        <v>8.25</v>
      </c>
      <c r="P212" s="92">
        <v>8.25</v>
      </c>
      <c r="Q212" s="93">
        <v>8.25</v>
      </c>
    </row>
    <row r="213" spans="1:17" x14ac:dyDescent="0.25">
      <c r="A213" s="52"/>
      <c r="B213" s="53" t="s">
        <v>55</v>
      </c>
      <c r="C213" s="54">
        <v>45847</v>
      </c>
      <c r="D213" s="92">
        <v>8.25</v>
      </c>
      <c r="E213" s="92">
        <v>8.25</v>
      </c>
      <c r="F213" s="92">
        <v>8.25</v>
      </c>
      <c r="G213" s="92">
        <v>8.25</v>
      </c>
      <c r="H213" s="92">
        <v>8.25</v>
      </c>
      <c r="I213" s="92">
        <v>8.25</v>
      </c>
      <c r="J213" s="92">
        <v>8.25</v>
      </c>
      <c r="K213" s="92">
        <v>8.25</v>
      </c>
      <c r="L213" s="92">
        <v>8.25</v>
      </c>
      <c r="M213" s="92">
        <v>8.25</v>
      </c>
      <c r="N213" s="92">
        <v>8.25</v>
      </c>
      <c r="O213" s="92">
        <v>8.25</v>
      </c>
      <c r="P213" s="92">
        <v>8.25</v>
      </c>
      <c r="Q213" s="93">
        <v>8.25</v>
      </c>
    </row>
    <row r="214" spans="1:17" x14ac:dyDescent="0.25">
      <c r="A214" s="52"/>
      <c r="B214" s="53" t="s">
        <v>56</v>
      </c>
      <c r="C214" s="54">
        <v>45848</v>
      </c>
      <c r="D214" s="92">
        <v>8.25</v>
      </c>
      <c r="E214" s="92">
        <v>8.25</v>
      </c>
      <c r="F214" s="92">
        <v>8.25</v>
      </c>
      <c r="G214" s="92">
        <v>8.25</v>
      </c>
      <c r="H214" s="92">
        <v>8.25</v>
      </c>
      <c r="I214" s="92">
        <v>8.25</v>
      </c>
      <c r="J214" s="92">
        <v>8.25</v>
      </c>
      <c r="K214" s="92">
        <v>8.25</v>
      </c>
      <c r="L214" s="92">
        <v>8.25</v>
      </c>
      <c r="M214" s="92">
        <v>8.25</v>
      </c>
      <c r="N214" s="92">
        <v>8.25</v>
      </c>
      <c r="O214" s="92">
        <v>8.25</v>
      </c>
      <c r="P214" s="77">
        <v>0</v>
      </c>
      <c r="Q214" s="93">
        <v>8.25</v>
      </c>
    </row>
    <row r="215" spans="1:17" x14ac:dyDescent="0.25">
      <c r="A215" s="52"/>
      <c r="B215" s="53" t="s">
        <v>57</v>
      </c>
      <c r="C215" s="54">
        <v>45849</v>
      </c>
      <c r="D215" s="92">
        <v>7</v>
      </c>
      <c r="E215" s="92">
        <v>7</v>
      </c>
      <c r="F215" s="92">
        <v>7</v>
      </c>
      <c r="G215" s="92">
        <v>7</v>
      </c>
      <c r="H215" s="92">
        <v>7</v>
      </c>
      <c r="I215" s="92">
        <v>7</v>
      </c>
      <c r="J215" s="92">
        <v>7</v>
      </c>
      <c r="K215" s="92">
        <v>7</v>
      </c>
      <c r="L215" s="92">
        <v>7</v>
      </c>
      <c r="M215" s="92">
        <v>7</v>
      </c>
      <c r="N215" s="92">
        <v>7</v>
      </c>
      <c r="O215" s="92">
        <v>7</v>
      </c>
      <c r="P215" s="77">
        <v>0</v>
      </c>
      <c r="Q215" s="93">
        <v>7</v>
      </c>
    </row>
    <row r="216" spans="1:17" x14ac:dyDescent="0.25">
      <c r="A216" s="49"/>
      <c r="B216" s="65" t="s">
        <v>58</v>
      </c>
      <c r="C216" s="66">
        <v>45850</v>
      </c>
      <c r="D216" s="67">
        <v>0</v>
      </c>
      <c r="E216" s="67">
        <v>0</v>
      </c>
      <c r="F216" s="67">
        <v>0</v>
      </c>
      <c r="G216" s="67">
        <v>0</v>
      </c>
      <c r="H216" s="67">
        <v>0</v>
      </c>
      <c r="I216" s="67">
        <v>0</v>
      </c>
      <c r="J216" s="67">
        <v>0</v>
      </c>
      <c r="K216" s="67">
        <v>0</v>
      </c>
      <c r="L216" s="67">
        <v>0</v>
      </c>
      <c r="M216" s="67">
        <v>0</v>
      </c>
      <c r="N216" s="67">
        <v>0</v>
      </c>
      <c r="O216" s="67">
        <v>0</v>
      </c>
      <c r="P216" s="77">
        <v>0</v>
      </c>
      <c r="Q216" s="68">
        <v>0</v>
      </c>
    </row>
    <row r="217" spans="1:17" x14ac:dyDescent="0.25">
      <c r="A217" s="49"/>
      <c r="B217" s="65" t="s">
        <v>59</v>
      </c>
      <c r="C217" s="66">
        <v>45851</v>
      </c>
      <c r="D217" s="67">
        <v>0</v>
      </c>
      <c r="E217" s="67">
        <v>0</v>
      </c>
      <c r="F217" s="67">
        <v>0</v>
      </c>
      <c r="G217" s="67">
        <v>0</v>
      </c>
      <c r="H217" s="67">
        <v>0</v>
      </c>
      <c r="I217" s="67">
        <v>0</v>
      </c>
      <c r="J217" s="67">
        <v>0</v>
      </c>
      <c r="K217" s="67">
        <v>0</v>
      </c>
      <c r="L217" s="67">
        <v>0</v>
      </c>
      <c r="M217" s="67">
        <v>0</v>
      </c>
      <c r="N217" s="67">
        <v>0</v>
      </c>
      <c r="O217" s="67">
        <v>0</v>
      </c>
      <c r="P217" s="77">
        <v>0</v>
      </c>
      <c r="Q217" s="68">
        <v>0</v>
      </c>
    </row>
    <row r="218" spans="1:17" x14ac:dyDescent="0.25">
      <c r="A218" s="52"/>
      <c r="B218" s="53" t="s">
        <v>60</v>
      </c>
      <c r="C218" s="54">
        <v>45852</v>
      </c>
      <c r="D218" s="92">
        <v>8.25</v>
      </c>
      <c r="E218" s="92">
        <v>8.25</v>
      </c>
      <c r="F218" s="92">
        <v>8.25</v>
      </c>
      <c r="G218" s="92">
        <v>8.25</v>
      </c>
      <c r="H218" s="92">
        <v>8.25</v>
      </c>
      <c r="I218" s="92">
        <v>8.25</v>
      </c>
      <c r="J218" s="92">
        <v>8.25</v>
      </c>
      <c r="K218" s="92">
        <v>8.25</v>
      </c>
      <c r="L218" s="92">
        <v>8.25</v>
      </c>
      <c r="M218" s="92">
        <v>8.25</v>
      </c>
      <c r="N218" s="92">
        <v>8.25</v>
      </c>
      <c r="O218" s="92">
        <v>8.25</v>
      </c>
      <c r="P218" s="92">
        <v>8.25</v>
      </c>
      <c r="Q218" s="93">
        <v>8.25</v>
      </c>
    </row>
    <row r="219" spans="1:17" x14ac:dyDescent="0.25">
      <c r="A219" s="52"/>
      <c r="B219" s="53" t="s">
        <v>61</v>
      </c>
      <c r="C219" s="54">
        <v>45853</v>
      </c>
      <c r="D219" s="92">
        <v>8.25</v>
      </c>
      <c r="E219" s="92">
        <v>8.25</v>
      </c>
      <c r="F219" s="92">
        <v>8.25</v>
      </c>
      <c r="G219" s="92">
        <v>8.25</v>
      </c>
      <c r="H219" s="92">
        <v>8.25</v>
      </c>
      <c r="I219" s="92">
        <v>8.25</v>
      </c>
      <c r="J219" s="92">
        <v>8.25</v>
      </c>
      <c r="K219" s="92">
        <v>8.25</v>
      </c>
      <c r="L219" s="92">
        <v>8.25</v>
      </c>
      <c r="M219" s="92">
        <v>8.25</v>
      </c>
      <c r="N219" s="92">
        <v>8.25</v>
      </c>
      <c r="O219" s="92">
        <v>8.25</v>
      </c>
      <c r="P219" s="92">
        <v>8.25</v>
      </c>
      <c r="Q219" s="93">
        <v>8.25</v>
      </c>
    </row>
    <row r="220" spans="1:17" x14ac:dyDescent="0.25">
      <c r="A220" s="52"/>
      <c r="B220" s="53" t="s">
        <v>55</v>
      </c>
      <c r="C220" s="54">
        <v>45854</v>
      </c>
      <c r="D220" s="92">
        <v>8.25</v>
      </c>
      <c r="E220" s="92">
        <v>8.25</v>
      </c>
      <c r="F220" s="92">
        <v>8.25</v>
      </c>
      <c r="G220" s="92">
        <v>8.25</v>
      </c>
      <c r="H220" s="92">
        <v>8.25</v>
      </c>
      <c r="I220" s="92">
        <v>8.25</v>
      </c>
      <c r="J220" s="92">
        <v>8.25</v>
      </c>
      <c r="K220" s="92">
        <v>8.25</v>
      </c>
      <c r="L220" s="92">
        <v>8.25</v>
      </c>
      <c r="M220" s="92">
        <v>8.25</v>
      </c>
      <c r="N220" s="92">
        <v>8.25</v>
      </c>
      <c r="O220" s="92">
        <v>8.25</v>
      </c>
      <c r="P220" s="92">
        <v>8.25</v>
      </c>
      <c r="Q220" s="93">
        <v>8.25</v>
      </c>
    </row>
    <row r="221" spans="1:17" x14ac:dyDescent="0.25">
      <c r="A221" s="52"/>
      <c r="B221" s="53" t="s">
        <v>56</v>
      </c>
      <c r="C221" s="54">
        <v>45855</v>
      </c>
      <c r="D221" s="92">
        <v>8.25</v>
      </c>
      <c r="E221" s="92">
        <v>8.25</v>
      </c>
      <c r="F221" s="92">
        <v>8.25</v>
      </c>
      <c r="G221" s="92">
        <v>8.25</v>
      </c>
      <c r="H221" s="92">
        <v>8.25</v>
      </c>
      <c r="I221" s="92">
        <v>8.25</v>
      </c>
      <c r="J221" s="92">
        <v>8.25</v>
      </c>
      <c r="K221" s="92">
        <v>8.25</v>
      </c>
      <c r="L221" s="92">
        <v>8.25</v>
      </c>
      <c r="M221" s="92">
        <v>8.25</v>
      </c>
      <c r="N221" s="92">
        <v>8.25</v>
      </c>
      <c r="O221" s="92">
        <v>8.25</v>
      </c>
      <c r="P221" s="92">
        <v>8.25</v>
      </c>
      <c r="Q221" s="93">
        <v>8.25</v>
      </c>
    </row>
    <row r="222" spans="1:17" x14ac:dyDescent="0.25">
      <c r="A222" s="52"/>
      <c r="B222" s="53" t="s">
        <v>57</v>
      </c>
      <c r="C222" s="54">
        <v>45856</v>
      </c>
      <c r="D222" s="92">
        <v>7</v>
      </c>
      <c r="E222" s="92">
        <v>7</v>
      </c>
      <c r="F222" s="92">
        <v>7</v>
      </c>
      <c r="G222" s="92">
        <v>7</v>
      </c>
      <c r="H222" s="92">
        <v>7</v>
      </c>
      <c r="I222" s="92">
        <v>7</v>
      </c>
      <c r="J222" s="92">
        <v>7</v>
      </c>
      <c r="K222" s="92">
        <v>7</v>
      </c>
      <c r="L222" s="92">
        <v>7</v>
      </c>
      <c r="M222" s="92">
        <v>7</v>
      </c>
      <c r="N222" s="92">
        <v>7</v>
      </c>
      <c r="O222" s="92">
        <v>7</v>
      </c>
      <c r="P222" s="92">
        <v>7</v>
      </c>
      <c r="Q222" s="93">
        <v>7</v>
      </c>
    </row>
    <row r="223" spans="1:17" x14ac:dyDescent="0.25">
      <c r="A223" s="49"/>
      <c r="B223" s="65" t="s">
        <v>58</v>
      </c>
      <c r="C223" s="66">
        <v>45857</v>
      </c>
      <c r="D223" s="67">
        <v>0</v>
      </c>
      <c r="E223" s="67">
        <v>0</v>
      </c>
      <c r="F223" s="67">
        <v>0</v>
      </c>
      <c r="G223" s="67">
        <v>0</v>
      </c>
      <c r="H223" s="67">
        <v>0</v>
      </c>
      <c r="I223" s="67">
        <v>0</v>
      </c>
      <c r="J223" s="67">
        <v>0</v>
      </c>
      <c r="K223" s="77">
        <v>0</v>
      </c>
      <c r="L223" s="67">
        <v>0</v>
      </c>
      <c r="M223" s="67">
        <v>0</v>
      </c>
      <c r="N223" s="67">
        <v>0</v>
      </c>
      <c r="O223" s="67">
        <v>0</v>
      </c>
      <c r="P223" s="67">
        <v>0</v>
      </c>
      <c r="Q223" s="68">
        <v>0</v>
      </c>
    </row>
    <row r="224" spans="1:17" x14ac:dyDescent="0.25">
      <c r="A224" s="49"/>
      <c r="B224" s="65" t="s">
        <v>59</v>
      </c>
      <c r="C224" s="66">
        <v>45858</v>
      </c>
      <c r="D224" s="67">
        <v>0</v>
      </c>
      <c r="E224" s="67">
        <v>0</v>
      </c>
      <c r="F224" s="67">
        <v>0</v>
      </c>
      <c r="G224" s="67">
        <v>0</v>
      </c>
      <c r="H224" s="67">
        <v>0</v>
      </c>
      <c r="I224" s="67">
        <v>0</v>
      </c>
      <c r="J224" s="67">
        <v>0</v>
      </c>
      <c r="K224" s="77">
        <v>0</v>
      </c>
      <c r="L224" s="67">
        <v>0</v>
      </c>
      <c r="M224" s="67">
        <v>0</v>
      </c>
      <c r="N224" s="67">
        <v>0</v>
      </c>
      <c r="O224" s="67">
        <v>0</v>
      </c>
      <c r="P224" s="67">
        <v>0</v>
      </c>
      <c r="Q224" s="68">
        <v>0</v>
      </c>
    </row>
    <row r="225" spans="1:17" x14ac:dyDescent="0.25">
      <c r="A225" s="52"/>
      <c r="B225" s="53" t="s">
        <v>60</v>
      </c>
      <c r="C225" s="54">
        <v>45859</v>
      </c>
      <c r="D225" s="92">
        <v>8.25</v>
      </c>
      <c r="E225" s="92">
        <v>8.25</v>
      </c>
      <c r="F225" s="92">
        <v>8.25</v>
      </c>
      <c r="G225" s="92">
        <v>8.25</v>
      </c>
      <c r="H225" s="92">
        <v>8.25</v>
      </c>
      <c r="I225" s="92">
        <v>8.25</v>
      </c>
      <c r="J225" s="92">
        <v>8.25</v>
      </c>
      <c r="K225" s="77">
        <v>0</v>
      </c>
      <c r="L225" s="92">
        <v>8.25</v>
      </c>
      <c r="M225" s="92">
        <v>8.25</v>
      </c>
      <c r="N225" s="77">
        <v>0</v>
      </c>
      <c r="O225" s="92">
        <v>8.25</v>
      </c>
      <c r="P225" s="92">
        <v>8.25</v>
      </c>
      <c r="Q225" s="93">
        <v>8.25</v>
      </c>
    </row>
    <row r="226" spans="1:17" x14ac:dyDescent="0.25">
      <c r="A226" s="52"/>
      <c r="B226" s="53" t="s">
        <v>61</v>
      </c>
      <c r="C226" s="54">
        <v>45860</v>
      </c>
      <c r="D226" s="77">
        <v>0</v>
      </c>
      <c r="E226" s="92">
        <v>8.25</v>
      </c>
      <c r="F226" s="92">
        <v>8.25</v>
      </c>
      <c r="G226" s="92">
        <v>8.25</v>
      </c>
      <c r="H226" s="92">
        <v>8.25</v>
      </c>
      <c r="I226" s="92">
        <v>8.25</v>
      </c>
      <c r="J226" s="92">
        <v>8.25</v>
      </c>
      <c r="K226" s="77">
        <v>0</v>
      </c>
      <c r="L226" s="92">
        <v>8.25</v>
      </c>
      <c r="M226" s="92">
        <v>8.25</v>
      </c>
      <c r="N226" s="77">
        <v>0</v>
      </c>
      <c r="O226" s="92">
        <v>8.25</v>
      </c>
      <c r="P226" s="92">
        <v>8.25</v>
      </c>
      <c r="Q226" s="93">
        <v>8.25</v>
      </c>
    </row>
    <row r="227" spans="1:17" x14ac:dyDescent="0.25">
      <c r="A227" s="52"/>
      <c r="B227" s="53" t="s">
        <v>55</v>
      </c>
      <c r="C227" s="54">
        <v>45861</v>
      </c>
      <c r="D227" s="77">
        <v>0</v>
      </c>
      <c r="E227" s="77">
        <v>0</v>
      </c>
      <c r="F227" s="92">
        <v>8.25</v>
      </c>
      <c r="G227" s="92">
        <v>8.25</v>
      </c>
      <c r="H227" s="92">
        <v>8.25</v>
      </c>
      <c r="I227" s="92">
        <v>8.25</v>
      </c>
      <c r="J227" s="92">
        <v>8.25</v>
      </c>
      <c r="K227" s="77">
        <v>0</v>
      </c>
      <c r="L227" s="92">
        <v>8.25</v>
      </c>
      <c r="M227" s="92">
        <v>8.25</v>
      </c>
      <c r="N227" s="77">
        <v>0</v>
      </c>
      <c r="O227" s="92">
        <v>8.25</v>
      </c>
      <c r="P227" s="92">
        <v>8.25</v>
      </c>
      <c r="Q227" s="93">
        <v>8.25</v>
      </c>
    </row>
    <row r="228" spans="1:17" x14ac:dyDescent="0.25">
      <c r="A228" s="52"/>
      <c r="B228" s="53" t="s">
        <v>56</v>
      </c>
      <c r="C228" s="54">
        <v>45862</v>
      </c>
      <c r="D228" s="77">
        <v>0</v>
      </c>
      <c r="E228" s="77">
        <v>0</v>
      </c>
      <c r="F228" s="92">
        <v>8.25</v>
      </c>
      <c r="G228" s="92">
        <v>8.25</v>
      </c>
      <c r="H228" s="92">
        <v>8.25</v>
      </c>
      <c r="I228" s="92">
        <v>8.25</v>
      </c>
      <c r="J228" s="92">
        <v>8.25</v>
      </c>
      <c r="K228" s="92">
        <v>8.25</v>
      </c>
      <c r="L228" s="92">
        <v>8.25</v>
      </c>
      <c r="M228" s="92">
        <v>8.25</v>
      </c>
      <c r="N228" s="77">
        <v>0</v>
      </c>
      <c r="O228" s="92">
        <v>8.25</v>
      </c>
      <c r="P228" s="92">
        <v>8.25</v>
      </c>
      <c r="Q228" s="93">
        <v>8.25</v>
      </c>
    </row>
    <row r="229" spans="1:17" x14ac:dyDescent="0.25">
      <c r="A229" s="52"/>
      <c r="B229" s="53" t="s">
        <v>57</v>
      </c>
      <c r="C229" s="54">
        <v>45863</v>
      </c>
      <c r="D229" s="77">
        <v>0</v>
      </c>
      <c r="E229" s="77">
        <v>0</v>
      </c>
      <c r="F229" s="92">
        <v>7</v>
      </c>
      <c r="G229" s="92">
        <v>7</v>
      </c>
      <c r="H229" s="92">
        <v>7</v>
      </c>
      <c r="I229" s="92">
        <v>7</v>
      </c>
      <c r="J229" s="92">
        <v>7</v>
      </c>
      <c r="K229" s="92">
        <v>7</v>
      </c>
      <c r="L229" s="92">
        <v>7</v>
      </c>
      <c r="M229" s="92">
        <v>7</v>
      </c>
      <c r="N229" s="77">
        <v>0</v>
      </c>
      <c r="O229" s="92">
        <v>7</v>
      </c>
      <c r="P229" s="92">
        <v>7</v>
      </c>
      <c r="Q229" s="93">
        <v>7</v>
      </c>
    </row>
    <row r="230" spans="1:17" x14ac:dyDescent="0.25">
      <c r="A230" s="49"/>
      <c r="B230" s="65" t="s">
        <v>58</v>
      </c>
      <c r="C230" s="66">
        <v>45864</v>
      </c>
      <c r="D230" s="77">
        <v>0</v>
      </c>
      <c r="E230" s="77">
        <v>0</v>
      </c>
      <c r="F230" s="67">
        <v>0</v>
      </c>
      <c r="G230" s="67">
        <v>0</v>
      </c>
      <c r="H230" s="67">
        <v>0</v>
      </c>
      <c r="I230" s="67">
        <v>0</v>
      </c>
      <c r="J230" s="67">
        <v>0</v>
      </c>
      <c r="K230" s="67">
        <v>0</v>
      </c>
      <c r="L230" s="67">
        <v>0</v>
      </c>
      <c r="M230" s="67">
        <v>0</v>
      </c>
      <c r="N230" s="67">
        <v>0</v>
      </c>
      <c r="O230" s="67">
        <v>0</v>
      </c>
      <c r="P230" s="67">
        <v>0</v>
      </c>
      <c r="Q230" s="68">
        <v>0</v>
      </c>
    </row>
    <row r="231" spans="1:17" x14ac:dyDescent="0.25">
      <c r="A231" s="49"/>
      <c r="B231" s="65" t="s">
        <v>59</v>
      </c>
      <c r="C231" s="66">
        <v>45865</v>
      </c>
      <c r="D231" s="67">
        <v>0</v>
      </c>
      <c r="E231" s="77">
        <v>0</v>
      </c>
      <c r="F231" s="67">
        <v>0</v>
      </c>
      <c r="G231" s="67">
        <v>0</v>
      </c>
      <c r="H231" s="67">
        <v>0</v>
      </c>
      <c r="I231" s="67">
        <v>0</v>
      </c>
      <c r="J231" s="67">
        <v>0</v>
      </c>
      <c r="K231" s="67">
        <v>0</v>
      </c>
      <c r="L231" s="67">
        <v>0</v>
      </c>
      <c r="M231" s="67">
        <v>0</v>
      </c>
      <c r="N231" s="67">
        <v>0</v>
      </c>
      <c r="O231" s="67">
        <v>0</v>
      </c>
      <c r="P231" s="67">
        <v>0</v>
      </c>
      <c r="Q231" s="68">
        <v>0</v>
      </c>
    </row>
    <row r="232" spans="1:17" x14ac:dyDescent="0.25">
      <c r="A232" s="52"/>
      <c r="B232" s="53" t="s">
        <v>60</v>
      </c>
      <c r="C232" s="54">
        <v>45866</v>
      </c>
      <c r="D232" s="92">
        <v>8.25</v>
      </c>
      <c r="E232" s="92">
        <v>8.25</v>
      </c>
      <c r="F232" s="92">
        <v>8.25</v>
      </c>
      <c r="G232" s="92">
        <v>8.25</v>
      </c>
      <c r="H232" s="92">
        <v>8.25</v>
      </c>
      <c r="I232" s="92">
        <v>8.25</v>
      </c>
      <c r="J232" s="92">
        <v>8.25</v>
      </c>
      <c r="K232" s="92">
        <v>8.25</v>
      </c>
      <c r="L232" s="92">
        <v>8.25</v>
      </c>
      <c r="M232" s="92">
        <v>8.25</v>
      </c>
      <c r="N232" s="92">
        <v>8.25</v>
      </c>
      <c r="O232" s="92">
        <v>8.25</v>
      </c>
      <c r="P232" s="92">
        <v>8.25</v>
      </c>
      <c r="Q232" s="93">
        <v>8.25</v>
      </c>
    </row>
    <row r="233" spans="1:17" x14ac:dyDescent="0.25">
      <c r="A233" s="52"/>
      <c r="B233" s="53" t="s">
        <v>61</v>
      </c>
      <c r="C233" s="54">
        <v>45867</v>
      </c>
      <c r="D233" s="92">
        <v>8.25</v>
      </c>
      <c r="E233" s="92">
        <v>8.25</v>
      </c>
      <c r="F233" s="92">
        <v>8.25</v>
      </c>
      <c r="G233" s="92">
        <v>8.25</v>
      </c>
      <c r="H233" s="92">
        <v>8.25</v>
      </c>
      <c r="I233" s="92">
        <v>8.25</v>
      </c>
      <c r="J233" s="92">
        <v>8.25</v>
      </c>
      <c r="K233" s="92">
        <v>8.25</v>
      </c>
      <c r="L233" s="92">
        <v>8.25</v>
      </c>
      <c r="M233" s="92">
        <v>8.25</v>
      </c>
      <c r="N233" s="92">
        <v>8.25</v>
      </c>
      <c r="O233" s="92">
        <v>8.25</v>
      </c>
      <c r="P233" s="92">
        <v>8.25</v>
      </c>
      <c r="Q233" s="93">
        <v>8.25</v>
      </c>
    </row>
    <row r="234" spans="1:17" x14ac:dyDescent="0.25">
      <c r="A234" s="52"/>
      <c r="B234" s="53" t="s">
        <v>55</v>
      </c>
      <c r="C234" s="54">
        <v>45868</v>
      </c>
      <c r="D234" s="92">
        <v>8.25</v>
      </c>
      <c r="E234" s="92">
        <v>8.25</v>
      </c>
      <c r="F234" s="92">
        <v>8.25</v>
      </c>
      <c r="G234" s="92">
        <v>8.25</v>
      </c>
      <c r="H234" s="92">
        <v>8.25</v>
      </c>
      <c r="I234" s="92">
        <v>8.25</v>
      </c>
      <c r="J234" s="92">
        <v>8.25</v>
      </c>
      <c r="K234" s="92">
        <v>8.25</v>
      </c>
      <c r="L234" s="92">
        <v>8.25</v>
      </c>
      <c r="M234" s="92">
        <v>8.25</v>
      </c>
      <c r="N234" s="92">
        <v>8.25</v>
      </c>
      <c r="O234" s="92">
        <v>8.25</v>
      </c>
      <c r="P234" s="92">
        <v>8.25</v>
      </c>
      <c r="Q234" s="93">
        <v>8.25</v>
      </c>
    </row>
    <row r="235" spans="1:17" ht="15.75" thickBot="1" x14ac:dyDescent="0.3">
      <c r="A235" s="52"/>
      <c r="B235" s="55" t="s">
        <v>56</v>
      </c>
      <c r="C235" s="56">
        <v>45869</v>
      </c>
      <c r="D235" s="94">
        <v>8.25</v>
      </c>
      <c r="E235" s="94">
        <v>8.25</v>
      </c>
      <c r="F235" s="94">
        <v>8.25</v>
      </c>
      <c r="G235" s="94">
        <v>8.25</v>
      </c>
      <c r="H235" s="94">
        <v>8.25</v>
      </c>
      <c r="I235" s="94">
        <v>8.25</v>
      </c>
      <c r="J235" s="94">
        <v>8.25</v>
      </c>
      <c r="K235" s="94">
        <v>8.25</v>
      </c>
      <c r="L235" s="94">
        <v>8.25</v>
      </c>
      <c r="M235" s="94">
        <v>8.25</v>
      </c>
      <c r="N235" s="94">
        <v>8.25</v>
      </c>
      <c r="O235" s="94">
        <v>8.25</v>
      </c>
      <c r="P235" s="94">
        <v>8.25</v>
      </c>
      <c r="Q235" s="95">
        <v>8.25</v>
      </c>
    </row>
    <row r="236" spans="1:17" x14ac:dyDescent="0.25">
      <c r="A236" s="52"/>
      <c r="B236" s="57" t="s">
        <v>57</v>
      </c>
      <c r="C236" s="58">
        <v>45870</v>
      </c>
      <c r="D236" s="90">
        <v>7</v>
      </c>
      <c r="E236" s="90">
        <v>7</v>
      </c>
      <c r="F236" s="90">
        <v>7</v>
      </c>
      <c r="G236" s="90">
        <v>7</v>
      </c>
      <c r="H236" s="90">
        <v>7</v>
      </c>
      <c r="I236" s="90">
        <v>7</v>
      </c>
      <c r="J236" s="90">
        <v>7</v>
      </c>
      <c r="K236" s="90">
        <v>7</v>
      </c>
      <c r="L236" s="90">
        <v>7</v>
      </c>
      <c r="M236" s="90">
        <v>7</v>
      </c>
      <c r="N236" s="90">
        <v>7</v>
      </c>
      <c r="O236" s="90">
        <v>7</v>
      </c>
      <c r="P236" s="90">
        <v>7</v>
      </c>
      <c r="Q236" s="91">
        <v>7</v>
      </c>
    </row>
    <row r="237" spans="1:17" x14ac:dyDescent="0.25">
      <c r="A237" s="49"/>
      <c r="B237" s="65" t="s">
        <v>58</v>
      </c>
      <c r="C237" s="66">
        <v>45871</v>
      </c>
      <c r="D237" s="67">
        <v>0</v>
      </c>
      <c r="E237" s="67">
        <v>0</v>
      </c>
      <c r="F237" s="67">
        <v>0</v>
      </c>
      <c r="G237" s="67">
        <v>0</v>
      </c>
      <c r="H237" s="67">
        <v>0</v>
      </c>
      <c r="I237" s="67">
        <v>0</v>
      </c>
      <c r="J237" s="67">
        <v>0</v>
      </c>
      <c r="K237" s="67">
        <v>0</v>
      </c>
      <c r="L237" s="67">
        <v>0</v>
      </c>
      <c r="M237" s="67">
        <v>0</v>
      </c>
      <c r="N237" s="67">
        <v>0</v>
      </c>
      <c r="O237" s="67">
        <v>0</v>
      </c>
      <c r="P237" s="67">
        <v>0</v>
      </c>
      <c r="Q237" s="68">
        <v>0</v>
      </c>
    </row>
    <row r="238" spans="1:17" x14ac:dyDescent="0.25">
      <c r="A238" s="49"/>
      <c r="B238" s="65" t="s">
        <v>59</v>
      </c>
      <c r="C238" s="66">
        <v>45872</v>
      </c>
      <c r="D238" s="67">
        <v>0</v>
      </c>
      <c r="E238" s="67">
        <v>0</v>
      </c>
      <c r="F238" s="67">
        <v>0</v>
      </c>
      <c r="G238" s="67">
        <v>0</v>
      </c>
      <c r="H238" s="67">
        <v>0</v>
      </c>
      <c r="I238" s="67">
        <v>0</v>
      </c>
      <c r="J238" s="67">
        <v>0</v>
      </c>
      <c r="K238" s="67">
        <v>0</v>
      </c>
      <c r="L238" s="67">
        <v>0</v>
      </c>
      <c r="M238" s="67">
        <v>0</v>
      </c>
      <c r="N238" s="67">
        <v>0</v>
      </c>
      <c r="O238" s="67">
        <v>0</v>
      </c>
      <c r="P238" s="67">
        <v>0</v>
      </c>
      <c r="Q238" s="68">
        <v>0</v>
      </c>
    </row>
    <row r="239" spans="1:17" x14ac:dyDescent="0.25">
      <c r="A239" s="52"/>
      <c r="B239" s="53" t="s">
        <v>60</v>
      </c>
      <c r="C239" s="54">
        <v>45873</v>
      </c>
      <c r="D239" s="92">
        <v>8.25</v>
      </c>
      <c r="E239" s="92">
        <v>8.25</v>
      </c>
      <c r="F239" s="92">
        <v>8.25</v>
      </c>
      <c r="G239" s="92">
        <v>8.25</v>
      </c>
      <c r="H239" s="92">
        <v>8.25</v>
      </c>
      <c r="I239" s="92">
        <v>8.25</v>
      </c>
      <c r="J239" s="92">
        <v>8.25</v>
      </c>
      <c r="K239" s="92">
        <v>8.25</v>
      </c>
      <c r="L239" s="92">
        <v>8.25</v>
      </c>
      <c r="M239" s="92">
        <v>8.25</v>
      </c>
      <c r="N239" s="92">
        <v>8.25</v>
      </c>
      <c r="O239" s="92">
        <v>8.25</v>
      </c>
      <c r="P239" s="92">
        <v>8.25</v>
      </c>
      <c r="Q239" s="93">
        <v>8.25</v>
      </c>
    </row>
    <row r="240" spans="1:17" x14ac:dyDescent="0.25">
      <c r="A240" s="52"/>
      <c r="B240" s="53" t="s">
        <v>61</v>
      </c>
      <c r="C240" s="54">
        <v>45874</v>
      </c>
      <c r="D240" s="92">
        <v>8.25</v>
      </c>
      <c r="E240" s="92">
        <v>8.25</v>
      </c>
      <c r="F240" s="92">
        <v>8.25</v>
      </c>
      <c r="G240" s="92">
        <v>8.25</v>
      </c>
      <c r="H240" s="92">
        <v>8.25</v>
      </c>
      <c r="I240" s="92">
        <v>8.25</v>
      </c>
      <c r="J240" s="92">
        <v>8.25</v>
      </c>
      <c r="K240" s="92">
        <v>8.25</v>
      </c>
      <c r="L240" s="92">
        <v>8.25</v>
      </c>
      <c r="M240" s="92">
        <v>8.25</v>
      </c>
      <c r="N240" s="92">
        <v>8.25</v>
      </c>
      <c r="O240" s="92">
        <v>8.25</v>
      </c>
      <c r="P240" s="92">
        <v>8.25</v>
      </c>
      <c r="Q240" s="93">
        <v>8.25</v>
      </c>
    </row>
    <row r="241" spans="1:17" x14ac:dyDescent="0.25">
      <c r="A241" s="52"/>
      <c r="B241" s="53" t="s">
        <v>55</v>
      </c>
      <c r="C241" s="54">
        <v>45875</v>
      </c>
      <c r="D241" s="92">
        <v>8.25</v>
      </c>
      <c r="E241" s="92">
        <v>8.25</v>
      </c>
      <c r="F241" s="92">
        <v>8.25</v>
      </c>
      <c r="G241" s="92">
        <v>8.25</v>
      </c>
      <c r="H241" s="92">
        <v>8.25</v>
      </c>
      <c r="I241" s="92">
        <v>8.25</v>
      </c>
      <c r="J241" s="92">
        <v>8.25</v>
      </c>
      <c r="K241" s="92">
        <v>8.25</v>
      </c>
      <c r="L241" s="92">
        <v>8.25</v>
      </c>
      <c r="M241" s="92">
        <v>8.25</v>
      </c>
      <c r="N241" s="92">
        <v>8.25</v>
      </c>
      <c r="O241" s="92">
        <v>8.25</v>
      </c>
      <c r="P241" s="92">
        <v>8.25</v>
      </c>
      <c r="Q241" s="93">
        <v>8.25</v>
      </c>
    </row>
    <row r="242" spans="1:17" x14ac:dyDescent="0.25">
      <c r="A242" s="52"/>
      <c r="B242" s="53" t="s">
        <v>56</v>
      </c>
      <c r="C242" s="54">
        <v>45876</v>
      </c>
      <c r="D242" s="92">
        <v>8.25</v>
      </c>
      <c r="E242" s="92">
        <v>8.25</v>
      </c>
      <c r="F242" s="92">
        <v>8.25</v>
      </c>
      <c r="G242" s="92">
        <v>8.25</v>
      </c>
      <c r="H242" s="92">
        <v>8.25</v>
      </c>
      <c r="I242" s="92">
        <v>8.25</v>
      </c>
      <c r="J242" s="92">
        <v>8.25</v>
      </c>
      <c r="K242" s="92">
        <v>8.25</v>
      </c>
      <c r="L242" s="92">
        <v>8.25</v>
      </c>
      <c r="M242" s="92">
        <v>8.25</v>
      </c>
      <c r="N242" s="92">
        <v>8.25</v>
      </c>
      <c r="O242" s="92">
        <v>8.25</v>
      </c>
      <c r="P242" s="92">
        <v>8.25</v>
      </c>
      <c r="Q242" s="93">
        <v>8.25</v>
      </c>
    </row>
    <row r="243" spans="1:17" x14ac:dyDescent="0.25">
      <c r="A243" s="52"/>
      <c r="B243" s="53" t="s">
        <v>57</v>
      </c>
      <c r="C243" s="54">
        <v>45877</v>
      </c>
      <c r="D243" s="92">
        <v>7</v>
      </c>
      <c r="E243" s="92">
        <v>7</v>
      </c>
      <c r="F243" s="92">
        <v>7</v>
      </c>
      <c r="G243" s="92">
        <v>7</v>
      </c>
      <c r="H243" s="92">
        <v>7</v>
      </c>
      <c r="I243" s="92">
        <v>7</v>
      </c>
      <c r="J243" s="92">
        <v>7</v>
      </c>
      <c r="K243" s="92">
        <v>7</v>
      </c>
      <c r="L243" s="92">
        <v>7</v>
      </c>
      <c r="M243" s="92">
        <v>7</v>
      </c>
      <c r="N243" s="92">
        <v>7</v>
      </c>
      <c r="O243" s="92">
        <v>7</v>
      </c>
      <c r="P243" s="92">
        <v>7</v>
      </c>
      <c r="Q243" s="93">
        <v>7</v>
      </c>
    </row>
    <row r="244" spans="1:17" x14ac:dyDescent="0.25">
      <c r="A244" s="49"/>
      <c r="B244" s="65" t="s">
        <v>58</v>
      </c>
      <c r="C244" s="66">
        <v>45878</v>
      </c>
      <c r="D244" s="67">
        <v>0</v>
      </c>
      <c r="E244" s="67">
        <v>0</v>
      </c>
      <c r="F244" s="67">
        <v>0</v>
      </c>
      <c r="G244" s="67">
        <v>0</v>
      </c>
      <c r="H244" s="67">
        <v>0</v>
      </c>
      <c r="I244" s="67">
        <v>0</v>
      </c>
      <c r="J244" s="67">
        <v>0</v>
      </c>
      <c r="K244" s="67">
        <v>0</v>
      </c>
      <c r="L244" s="67">
        <v>0</v>
      </c>
      <c r="M244" s="67">
        <v>0</v>
      </c>
      <c r="N244" s="67">
        <v>0</v>
      </c>
      <c r="O244" s="67">
        <v>0</v>
      </c>
      <c r="P244" s="67">
        <v>0</v>
      </c>
      <c r="Q244" s="68">
        <v>0</v>
      </c>
    </row>
    <row r="245" spans="1:17" x14ac:dyDescent="0.25">
      <c r="A245" s="49"/>
      <c r="B245" s="65" t="s">
        <v>59</v>
      </c>
      <c r="C245" s="66">
        <v>45879</v>
      </c>
      <c r="D245" s="67">
        <v>0</v>
      </c>
      <c r="E245" s="67">
        <v>0</v>
      </c>
      <c r="F245" s="67">
        <v>0</v>
      </c>
      <c r="G245" s="67">
        <v>0</v>
      </c>
      <c r="H245" s="67">
        <v>0</v>
      </c>
      <c r="I245" s="67">
        <v>0</v>
      </c>
      <c r="J245" s="67">
        <v>0</v>
      </c>
      <c r="K245" s="67">
        <v>0</v>
      </c>
      <c r="L245" s="67">
        <v>0</v>
      </c>
      <c r="M245" s="67">
        <v>0</v>
      </c>
      <c r="N245" s="67">
        <v>0</v>
      </c>
      <c r="O245" s="67">
        <v>0</v>
      </c>
      <c r="P245" s="67">
        <v>0</v>
      </c>
      <c r="Q245" s="68">
        <v>0</v>
      </c>
    </row>
    <row r="246" spans="1:17" x14ac:dyDescent="0.25">
      <c r="A246" s="52"/>
      <c r="B246" s="53" t="s">
        <v>60</v>
      </c>
      <c r="C246" s="54">
        <v>45880</v>
      </c>
      <c r="D246" s="92">
        <v>8.25</v>
      </c>
      <c r="E246" s="92">
        <v>8.25</v>
      </c>
      <c r="F246" s="92">
        <v>8.25</v>
      </c>
      <c r="G246" s="92">
        <v>8.25</v>
      </c>
      <c r="H246" s="92">
        <v>8.25</v>
      </c>
      <c r="I246" s="92">
        <v>8.25</v>
      </c>
      <c r="J246" s="92">
        <v>8.25</v>
      </c>
      <c r="K246" s="92">
        <v>8.25</v>
      </c>
      <c r="L246" s="92">
        <v>8.25</v>
      </c>
      <c r="M246" s="92">
        <v>8.25</v>
      </c>
      <c r="N246" s="92">
        <v>8.25</v>
      </c>
      <c r="O246" s="92">
        <v>8.25</v>
      </c>
      <c r="P246" s="92">
        <v>8.25</v>
      </c>
      <c r="Q246" s="93">
        <v>8.25</v>
      </c>
    </row>
    <row r="247" spans="1:17" x14ac:dyDescent="0.25">
      <c r="A247" s="52"/>
      <c r="B247" s="53" t="s">
        <v>61</v>
      </c>
      <c r="C247" s="54">
        <v>45881</v>
      </c>
      <c r="D247" s="92">
        <v>8.25</v>
      </c>
      <c r="E247" s="92">
        <v>8.25</v>
      </c>
      <c r="F247" s="92">
        <v>8.25</v>
      </c>
      <c r="G247" s="92">
        <v>8.25</v>
      </c>
      <c r="H247" s="92">
        <v>8.25</v>
      </c>
      <c r="I247" s="92">
        <v>8.25</v>
      </c>
      <c r="J247" s="92">
        <v>8.25</v>
      </c>
      <c r="K247" s="92">
        <v>8.25</v>
      </c>
      <c r="L247" s="92">
        <v>8.25</v>
      </c>
      <c r="M247" s="92">
        <v>8.25</v>
      </c>
      <c r="N247" s="92">
        <v>8.25</v>
      </c>
      <c r="O247" s="77">
        <v>0</v>
      </c>
      <c r="P247" s="92">
        <v>8.25</v>
      </c>
      <c r="Q247" s="93">
        <v>8.25</v>
      </c>
    </row>
    <row r="248" spans="1:17" x14ac:dyDescent="0.25">
      <c r="A248" s="52"/>
      <c r="B248" s="53" t="s">
        <v>55</v>
      </c>
      <c r="C248" s="54">
        <v>45882</v>
      </c>
      <c r="D248" s="92">
        <v>8.25</v>
      </c>
      <c r="E248" s="92">
        <v>8.25</v>
      </c>
      <c r="F248" s="92">
        <v>8.25</v>
      </c>
      <c r="G248" s="92">
        <v>8.25</v>
      </c>
      <c r="H248" s="92">
        <v>8.25</v>
      </c>
      <c r="I248" s="92">
        <v>8.25</v>
      </c>
      <c r="J248" s="92">
        <v>8.25</v>
      </c>
      <c r="K248" s="92">
        <v>8.25</v>
      </c>
      <c r="L248" s="92">
        <v>8.25</v>
      </c>
      <c r="M248" s="92">
        <v>8.25</v>
      </c>
      <c r="N248" s="92">
        <v>8.25</v>
      </c>
      <c r="O248" s="77">
        <v>0</v>
      </c>
      <c r="P248" s="92">
        <v>8.25</v>
      </c>
      <c r="Q248" s="93">
        <v>8.25</v>
      </c>
    </row>
    <row r="249" spans="1:17" x14ac:dyDescent="0.25">
      <c r="A249" s="52"/>
      <c r="B249" s="53" t="s">
        <v>56</v>
      </c>
      <c r="C249" s="54">
        <v>45883</v>
      </c>
      <c r="D249" s="92">
        <v>8.25</v>
      </c>
      <c r="E249" s="92">
        <v>8.25</v>
      </c>
      <c r="F249" s="92">
        <v>8.25</v>
      </c>
      <c r="G249" s="92">
        <v>8.25</v>
      </c>
      <c r="H249" s="92">
        <v>8.25</v>
      </c>
      <c r="I249" s="92">
        <v>8.25</v>
      </c>
      <c r="J249" s="92">
        <v>8.25</v>
      </c>
      <c r="K249" s="92">
        <v>8.25</v>
      </c>
      <c r="L249" s="92">
        <v>8.25</v>
      </c>
      <c r="M249" s="92">
        <v>8.25</v>
      </c>
      <c r="N249" s="92">
        <v>8.25</v>
      </c>
      <c r="O249" s="77">
        <v>0</v>
      </c>
      <c r="P249" s="92">
        <v>8.25</v>
      </c>
      <c r="Q249" s="93">
        <v>8.25</v>
      </c>
    </row>
    <row r="250" spans="1:17" x14ac:dyDescent="0.25">
      <c r="A250" s="52"/>
      <c r="B250" s="53" t="s">
        <v>57</v>
      </c>
      <c r="C250" s="54">
        <v>45884</v>
      </c>
      <c r="D250" s="92">
        <v>7</v>
      </c>
      <c r="E250" s="92">
        <v>7</v>
      </c>
      <c r="F250" s="92">
        <v>7</v>
      </c>
      <c r="G250" s="92">
        <v>7</v>
      </c>
      <c r="H250" s="92">
        <v>7</v>
      </c>
      <c r="I250" s="92">
        <v>7</v>
      </c>
      <c r="J250" s="92">
        <v>7</v>
      </c>
      <c r="K250" s="92">
        <v>7</v>
      </c>
      <c r="L250" s="92">
        <v>7</v>
      </c>
      <c r="M250" s="92">
        <v>7</v>
      </c>
      <c r="N250" s="92">
        <v>7</v>
      </c>
      <c r="O250" s="77">
        <v>0</v>
      </c>
      <c r="P250" s="92">
        <v>7</v>
      </c>
      <c r="Q250" s="93">
        <v>7</v>
      </c>
    </row>
    <row r="251" spans="1:17" x14ac:dyDescent="0.25">
      <c r="A251" s="49"/>
      <c r="B251" s="65" t="s">
        <v>58</v>
      </c>
      <c r="C251" s="66">
        <v>45885</v>
      </c>
      <c r="D251" s="67">
        <v>0</v>
      </c>
      <c r="E251" s="67">
        <v>0</v>
      </c>
      <c r="F251" s="67">
        <v>0</v>
      </c>
      <c r="G251" s="67">
        <v>0</v>
      </c>
      <c r="H251" s="77">
        <v>0</v>
      </c>
      <c r="I251" s="67">
        <v>0</v>
      </c>
      <c r="J251" s="67">
        <v>0</v>
      </c>
      <c r="K251" s="67">
        <v>0</v>
      </c>
      <c r="L251" s="67">
        <v>0</v>
      </c>
      <c r="M251" s="67">
        <v>0</v>
      </c>
      <c r="N251" s="67">
        <v>0</v>
      </c>
      <c r="O251" s="67">
        <v>0</v>
      </c>
      <c r="P251" s="67">
        <v>0</v>
      </c>
      <c r="Q251" s="68">
        <v>0</v>
      </c>
    </row>
    <row r="252" spans="1:17" x14ac:dyDescent="0.25">
      <c r="A252" s="49"/>
      <c r="B252" s="65" t="s">
        <v>59</v>
      </c>
      <c r="C252" s="66">
        <v>45886</v>
      </c>
      <c r="D252" s="67">
        <v>0</v>
      </c>
      <c r="E252" s="67">
        <v>0</v>
      </c>
      <c r="F252" s="67">
        <v>0</v>
      </c>
      <c r="G252" s="67">
        <v>0</v>
      </c>
      <c r="H252" s="77">
        <v>0</v>
      </c>
      <c r="I252" s="67">
        <v>0</v>
      </c>
      <c r="J252" s="67">
        <v>0</v>
      </c>
      <c r="K252" s="67">
        <v>0</v>
      </c>
      <c r="L252" s="67">
        <v>0</v>
      </c>
      <c r="M252" s="67">
        <v>0</v>
      </c>
      <c r="N252" s="67">
        <v>0</v>
      </c>
      <c r="O252" s="67">
        <v>0</v>
      </c>
      <c r="P252" s="67">
        <v>0</v>
      </c>
      <c r="Q252" s="68">
        <v>0</v>
      </c>
    </row>
    <row r="253" spans="1:17" x14ac:dyDescent="0.25">
      <c r="A253" s="52"/>
      <c r="B253" s="53" t="s">
        <v>60</v>
      </c>
      <c r="C253" s="54">
        <v>45887</v>
      </c>
      <c r="D253" s="92">
        <v>8.25</v>
      </c>
      <c r="E253" s="92">
        <v>8.25</v>
      </c>
      <c r="F253" s="92">
        <v>8.25</v>
      </c>
      <c r="G253" s="92">
        <v>8.25</v>
      </c>
      <c r="H253" s="77">
        <v>0</v>
      </c>
      <c r="I253" s="92">
        <v>8.25</v>
      </c>
      <c r="J253" s="92">
        <v>8.25</v>
      </c>
      <c r="K253" s="92">
        <v>8.25</v>
      </c>
      <c r="L253" s="92">
        <v>8.25</v>
      </c>
      <c r="M253" s="92">
        <v>8.25</v>
      </c>
      <c r="N253" s="92">
        <v>8.25</v>
      </c>
      <c r="O253" s="92">
        <v>8.25</v>
      </c>
      <c r="P253" s="92">
        <v>8.25</v>
      </c>
      <c r="Q253" s="93">
        <v>8.25</v>
      </c>
    </row>
    <row r="254" spans="1:17" x14ac:dyDescent="0.25">
      <c r="A254" s="52"/>
      <c r="B254" s="53" t="s">
        <v>61</v>
      </c>
      <c r="C254" s="54">
        <v>45888</v>
      </c>
      <c r="D254" s="92">
        <v>8.25</v>
      </c>
      <c r="E254" s="92">
        <v>8.25</v>
      </c>
      <c r="F254" s="92">
        <v>8.25</v>
      </c>
      <c r="G254" s="92">
        <v>8.25</v>
      </c>
      <c r="H254" s="77">
        <v>0</v>
      </c>
      <c r="I254" s="92">
        <v>8.25</v>
      </c>
      <c r="J254" s="92">
        <v>8.25</v>
      </c>
      <c r="K254" s="92">
        <v>8.25</v>
      </c>
      <c r="L254" s="92">
        <v>8.25</v>
      </c>
      <c r="M254" s="92">
        <v>8.25</v>
      </c>
      <c r="N254" s="92">
        <v>8.25</v>
      </c>
      <c r="O254" s="92">
        <v>8.25</v>
      </c>
      <c r="P254" s="92">
        <v>8.25</v>
      </c>
      <c r="Q254" s="93">
        <v>8.25</v>
      </c>
    </row>
    <row r="255" spans="1:17" x14ac:dyDescent="0.25">
      <c r="A255" s="52"/>
      <c r="B255" s="53" t="s">
        <v>55</v>
      </c>
      <c r="C255" s="54">
        <v>45889</v>
      </c>
      <c r="D255" s="92">
        <v>8.25</v>
      </c>
      <c r="E255" s="92">
        <v>8.25</v>
      </c>
      <c r="F255" s="92">
        <v>8.25</v>
      </c>
      <c r="G255" s="92">
        <v>8.25</v>
      </c>
      <c r="H255" s="77">
        <v>0</v>
      </c>
      <c r="I255" s="92">
        <v>8.25</v>
      </c>
      <c r="J255" s="92">
        <v>8.25</v>
      </c>
      <c r="K255" s="92">
        <v>8.25</v>
      </c>
      <c r="L255" s="92">
        <v>8.25</v>
      </c>
      <c r="M255" s="92">
        <v>8.25</v>
      </c>
      <c r="N255" s="92">
        <v>8.25</v>
      </c>
      <c r="O255" s="92">
        <v>8.25</v>
      </c>
      <c r="P255" s="92">
        <v>8.25</v>
      </c>
      <c r="Q255" s="93">
        <v>8.25</v>
      </c>
    </row>
    <row r="256" spans="1:17" x14ac:dyDescent="0.25">
      <c r="A256" s="52"/>
      <c r="B256" s="53" t="s">
        <v>56</v>
      </c>
      <c r="C256" s="54">
        <v>45890</v>
      </c>
      <c r="D256" s="92">
        <v>8.25</v>
      </c>
      <c r="E256" s="92">
        <v>8.25</v>
      </c>
      <c r="F256" s="92">
        <v>8.25</v>
      </c>
      <c r="G256" s="92">
        <v>8.25</v>
      </c>
      <c r="H256" s="92">
        <v>8.25</v>
      </c>
      <c r="I256" s="92">
        <v>8.25</v>
      </c>
      <c r="J256" s="92">
        <v>8.25</v>
      </c>
      <c r="K256" s="92">
        <v>8.25</v>
      </c>
      <c r="L256" s="92">
        <v>8.25</v>
      </c>
      <c r="M256" s="92">
        <v>8.25</v>
      </c>
      <c r="N256" s="92">
        <v>8.25</v>
      </c>
      <c r="O256" s="92">
        <v>8.25</v>
      </c>
      <c r="P256" s="92">
        <v>8.25</v>
      </c>
      <c r="Q256" s="93">
        <v>8.25</v>
      </c>
    </row>
    <row r="257" spans="1:17" x14ac:dyDescent="0.25">
      <c r="A257" s="52"/>
      <c r="B257" s="53" t="s">
        <v>57</v>
      </c>
      <c r="C257" s="54">
        <v>45891</v>
      </c>
      <c r="D257" s="92">
        <v>7</v>
      </c>
      <c r="E257" s="92">
        <v>7</v>
      </c>
      <c r="F257" s="92">
        <v>7</v>
      </c>
      <c r="G257" s="92">
        <v>7</v>
      </c>
      <c r="H257" s="92">
        <v>7</v>
      </c>
      <c r="I257" s="92">
        <v>7</v>
      </c>
      <c r="J257" s="92">
        <v>7</v>
      </c>
      <c r="K257" s="92">
        <v>7</v>
      </c>
      <c r="L257" s="92">
        <v>7</v>
      </c>
      <c r="M257" s="92">
        <v>7</v>
      </c>
      <c r="N257" s="92">
        <v>7</v>
      </c>
      <c r="O257" s="92">
        <v>7</v>
      </c>
      <c r="P257" s="92">
        <v>7</v>
      </c>
      <c r="Q257" s="93">
        <v>7</v>
      </c>
    </row>
    <row r="258" spans="1:17" x14ac:dyDescent="0.25">
      <c r="A258" s="49"/>
      <c r="B258" s="65" t="s">
        <v>58</v>
      </c>
      <c r="C258" s="66">
        <v>45892</v>
      </c>
      <c r="D258" s="67">
        <v>0</v>
      </c>
      <c r="E258" s="67">
        <v>0</v>
      </c>
      <c r="F258" s="67">
        <v>0</v>
      </c>
      <c r="G258" s="67">
        <v>0</v>
      </c>
      <c r="H258" s="67">
        <v>0</v>
      </c>
      <c r="I258" s="67">
        <v>0</v>
      </c>
      <c r="J258" s="67">
        <v>0</v>
      </c>
      <c r="K258" s="67">
        <v>0</v>
      </c>
      <c r="L258" s="67">
        <v>0</v>
      </c>
      <c r="M258" s="67">
        <v>0</v>
      </c>
      <c r="N258" s="67">
        <v>0</v>
      </c>
      <c r="O258" s="67">
        <v>0</v>
      </c>
      <c r="P258" s="67">
        <v>0</v>
      </c>
      <c r="Q258" s="68">
        <v>0</v>
      </c>
    </row>
    <row r="259" spans="1:17" x14ac:dyDescent="0.25">
      <c r="A259" s="49"/>
      <c r="B259" s="65" t="s">
        <v>59</v>
      </c>
      <c r="C259" s="66">
        <v>45893</v>
      </c>
      <c r="D259" s="67">
        <v>0</v>
      </c>
      <c r="E259" s="67">
        <v>0</v>
      </c>
      <c r="F259" s="67">
        <v>0</v>
      </c>
      <c r="G259" s="67">
        <v>0</v>
      </c>
      <c r="H259" s="67">
        <v>0</v>
      </c>
      <c r="I259" s="67">
        <v>0</v>
      </c>
      <c r="J259" s="67">
        <v>0</v>
      </c>
      <c r="K259" s="67">
        <v>0</v>
      </c>
      <c r="L259" s="67">
        <v>0</v>
      </c>
      <c r="M259" s="67">
        <v>0</v>
      </c>
      <c r="N259" s="67">
        <v>0</v>
      </c>
      <c r="O259" s="67">
        <v>0</v>
      </c>
      <c r="P259" s="67">
        <v>0</v>
      </c>
      <c r="Q259" s="68">
        <v>0</v>
      </c>
    </row>
    <row r="260" spans="1:17" x14ac:dyDescent="0.25">
      <c r="A260" s="52"/>
      <c r="B260" s="53" t="s">
        <v>60</v>
      </c>
      <c r="C260" s="54">
        <v>45894</v>
      </c>
      <c r="D260" s="92">
        <v>8.25</v>
      </c>
      <c r="E260" s="92">
        <v>8.25</v>
      </c>
      <c r="F260" s="92">
        <v>8.25</v>
      </c>
      <c r="G260" s="92">
        <v>8.25</v>
      </c>
      <c r="H260" s="92">
        <v>8.25</v>
      </c>
      <c r="I260" s="92">
        <v>8.25</v>
      </c>
      <c r="J260" s="92">
        <v>8.25</v>
      </c>
      <c r="K260" s="92">
        <v>8.25</v>
      </c>
      <c r="L260" s="77">
        <v>0</v>
      </c>
      <c r="M260" s="92">
        <v>8.25</v>
      </c>
      <c r="N260" s="92">
        <v>8.25</v>
      </c>
      <c r="O260" s="92">
        <v>8.25</v>
      </c>
      <c r="P260" s="92">
        <v>8.25</v>
      </c>
      <c r="Q260" s="93">
        <v>8.25</v>
      </c>
    </row>
    <row r="261" spans="1:17" x14ac:dyDescent="0.25">
      <c r="A261" s="52"/>
      <c r="B261" s="53" t="s">
        <v>61</v>
      </c>
      <c r="C261" s="54">
        <v>45895</v>
      </c>
      <c r="D261" s="92">
        <v>8.25</v>
      </c>
      <c r="E261" s="92">
        <v>8.25</v>
      </c>
      <c r="F261" s="92">
        <v>8.25</v>
      </c>
      <c r="G261" s="92">
        <v>8.25</v>
      </c>
      <c r="H261" s="92">
        <v>8.25</v>
      </c>
      <c r="I261" s="92">
        <v>8.25</v>
      </c>
      <c r="J261" s="92">
        <v>8.25</v>
      </c>
      <c r="K261" s="92">
        <v>8.25</v>
      </c>
      <c r="L261" s="77">
        <v>0</v>
      </c>
      <c r="M261" s="92">
        <v>8.25</v>
      </c>
      <c r="N261" s="92">
        <v>8.25</v>
      </c>
      <c r="O261" s="92">
        <v>8.25</v>
      </c>
      <c r="P261" s="92">
        <v>8.25</v>
      </c>
      <c r="Q261" s="93">
        <v>8.25</v>
      </c>
    </row>
    <row r="262" spans="1:17" x14ac:dyDescent="0.25">
      <c r="A262" s="52"/>
      <c r="B262" s="53" t="s">
        <v>55</v>
      </c>
      <c r="C262" s="54">
        <v>45896</v>
      </c>
      <c r="D262" s="92">
        <v>8.25</v>
      </c>
      <c r="E262" s="92">
        <v>8.25</v>
      </c>
      <c r="F262" s="92">
        <v>8.25</v>
      </c>
      <c r="G262" s="92">
        <v>8.25</v>
      </c>
      <c r="H262" s="92">
        <v>8.25</v>
      </c>
      <c r="I262" s="92">
        <v>8.25</v>
      </c>
      <c r="J262" s="92">
        <v>8.25</v>
      </c>
      <c r="K262" s="92">
        <v>8.25</v>
      </c>
      <c r="L262" s="77">
        <v>0</v>
      </c>
      <c r="M262" s="92">
        <v>8.25</v>
      </c>
      <c r="N262" s="92">
        <v>8.25</v>
      </c>
      <c r="O262" s="92">
        <v>8.25</v>
      </c>
      <c r="P262" s="92">
        <v>8.25</v>
      </c>
      <c r="Q262" s="93">
        <v>8.25</v>
      </c>
    </row>
    <row r="263" spans="1:17" x14ac:dyDescent="0.25">
      <c r="A263" s="52"/>
      <c r="B263" s="53" t="s">
        <v>56</v>
      </c>
      <c r="C263" s="54">
        <v>45897</v>
      </c>
      <c r="D263" s="92">
        <v>8.25</v>
      </c>
      <c r="E263" s="92">
        <v>8.25</v>
      </c>
      <c r="F263" s="92">
        <v>8.25</v>
      </c>
      <c r="G263" s="92">
        <v>8.25</v>
      </c>
      <c r="H263" s="92">
        <v>8.25</v>
      </c>
      <c r="I263" s="92">
        <v>8.25</v>
      </c>
      <c r="J263" s="92">
        <v>8.25</v>
      </c>
      <c r="K263" s="92">
        <v>8.25</v>
      </c>
      <c r="L263" s="77">
        <v>0</v>
      </c>
      <c r="M263" s="92">
        <v>8.25</v>
      </c>
      <c r="N263" s="92">
        <v>8.25</v>
      </c>
      <c r="O263" s="92">
        <v>8.25</v>
      </c>
      <c r="P263" s="92">
        <v>8.25</v>
      </c>
      <c r="Q263" s="93">
        <v>8.25</v>
      </c>
    </row>
    <row r="264" spans="1:17" x14ac:dyDescent="0.25">
      <c r="A264" s="52"/>
      <c r="B264" s="53" t="s">
        <v>57</v>
      </c>
      <c r="C264" s="54">
        <v>45898</v>
      </c>
      <c r="D264" s="92">
        <v>7</v>
      </c>
      <c r="E264" s="92">
        <v>7</v>
      </c>
      <c r="F264" s="92">
        <v>7</v>
      </c>
      <c r="G264" s="92">
        <v>7</v>
      </c>
      <c r="H264" s="92">
        <v>7</v>
      </c>
      <c r="I264" s="92">
        <v>7</v>
      </c>
      <c r="J264" s="92">
        <v>7</v>
      </c>
      <c r="K264" s="92">
        <v>7</v>
      </c>
      <c r="L264" s="77">
        <v>0</v>
      </c>
      <c r="M264" s="92">
        <v>7</v>
      </c>
      <c r="N264" s="92">
        <v>7</v>
      </c>
      <c r="O264" s="92">
        <v>7</v>
      </c>
      <c r="P264" s="92">
        <v>7</v>
      </c>
      <c r="Q264" s="93">
        <v>7</v>
      </c>
    </row>
    <row r="265" spans="1:17" x14ac:dyDescent="0.25">
      <c r="A265" s="49"/>
      <c r="B265" s="65" t="s">
        <v>58</v>
      </c>
      <c r="C265" s="66">
        <v>45899</v>
      </c>
      <c r="D265" s="67">
        <v>0</v>
      </c>
      <c r="E265" s="67">
        <v>0</v>
      </c>
      <c r="F265" s="67">
        <v>0</v>
      </c>
      <c r="G265" s="67">
        <v>0</v>
      </c>
      <c r="H265" s="67">
        <v>0</v>
      </c>
      <c r="I265" s="67">
        <v>0</v>
      </c>
      <c r="J265" s="67">
        <v>0</v>
      </c>
      <c r="K265" s="67">
        <v>0</v>
      </c>
      <c r="L265" s="67">
        <v>0</v>
      </c>
      <c r="M265" s="67">
        <v>0</v>
      </c>
      <c r="N265" s="67">
        <v>0</v>
      </c>
      <c r="O265" s="67">
        <v>0</v>
      </c>
      <c r="P265" s="67">
        <v>0</v>
      </c>
      <c r="Q265" s="68">
        <v>0</v>
      </c>
    </row>
    <row r="266" spans="1:17" ht="15.75" thickBot="1" x14ac:dyDescent="0.3">
      <c r="A266" s="49"/>
      <c r="B266" s="73" t="s">
        <v>59</v>
      </c>
      <c r="C266" s="74">
        <v>45900</v>
      </c>
      <c r="D266" s="75">
        <v>0</v>
      </c>
      <c r="E266" s="75">
        <v>0</v>
      </c>
      <c r="F266" s="75">
        <v>0</v>
      </c>
      <c r="G266" s="75">
        <v>0</v>
      </c>
      <c r="H266" s="75">
        <v>0</v>
      </c>
      <c r="I266" s="75">
        <v>0</v>
      </c>
      <c r="J266" s="75">
        <v>0</v>
      </c>
      <c r="K266" s="75">
        <v>0</v>
      </c>
      <c r="L266" s="75">
        <v>0</v>
      </c>
      <c r="M266" s="75">
        <v>0</v>
      </c>
      <c r="N266" s="75">
        <v>0</v>
      </c>
      <c r="O266" s="75">
        <v>0</v>
      </c>
      <c r="P266" s="75">
        <v>0</v>
      </c>
      <c r="Q266" s="76">
        <v>0</v>
      </c>
    </row>
    <row r="267" spans="1:17" x14ac:dyDescent="0.25">
      <c r="A267" s="52"/>
      <c r="B267" s="57" t="s">
        <v>60</v>
      </c>
      <c r="C267" s="58">
        <v>45901</v>
      </c>
      <c r="D267" s="90">
        <v>8.25</v>
      </c>
      <c r="E267" s="90">
        <v>8.25</v>
      </c>
      <c r="F267" s="90">
        <v>8.25</v>
      </c>
      <c r="G267" s="90">
        <v>8.25</v>
      </c>
      <c r="H267" s="90">
        <v>8.25</v>
      </c>
      <c r="I267" s="90">
        <v>8.25</v>
      </c>
      <c r="J267" s="90">
        <v>8.25</v>
      </c>
      <c r="K267" s="90">
        <v>8.25</v>
      </c>
      <c r="L267" s="90">
        <v>8.25</v>
      </c>
      <c r="M267" s="90">
        <v>8.25</v>
      </c>
      <c r="N267" s="90">
        <v>8.25</v>
      </c>
      <c r="O267" s="90">
        <v>8.25</v>
      </c>
      <c r="P267" s="90">
        <v>8.25</v>
      </c>
      <c r="Q267" s="91">
        <v>8.25</v>
      </c>
    </row>
    <row r="268" spans="1:17" x14ac:dyDescent="0.25">
      <c r="A268" s="52"/>
      <c r="B268" s="53" t="s">
        <v>61</v>
      </c>
      <c r="C268" s="54">
        <v>45902</v>
      </c>
      <c r="D268" s="92">
        <v>8.25</v>
      </c>
      <c r="E268" s="92">
        <v>8.25</v>
      </c>
      <c r="F268" s="92">
        <v>8.25</v>
      </c>
      <c r="G268" s="92">
        <v>8.25</v>
      </c>
      <c r="H268" s="92">
        <v>8.25</v>
      </c>
      <c r="I268" s="92">
        <v>8.25</v>
      </c>
      <c r="J268" s="92">
        <v>8.25</v>
      </c>
      <c r="K268" s="92">
        <v>8.25</v>
      </c>
      <c r="L268" s="92">
        <v>8.25</v>
      </c>
      <c r="M268" s="92">
        <v>8.25</v>
      </c>
      <c r="N268" s="92">
        <v>8.25</v>
      </c>
      <c r="O268" s="92">
        <v>8.25</v>
      </c>
      <c r="P268" s="92">
        <v>8.25</v>
      </c>
      <c r="Q268" s="93">
        <v>8.25</v>
      </c>
    </row>
    <row r="269" spans="1:17" x14ac:dyDescent="0.25">
      <c r="A269" s="52"/>
      <c r="B269" s="53" t="s">
        <v>55</v>
      </c>
      <c r="C269" s="54">
        <v>45903</v>
      </c>
      <c r="D269" s="92">
        <v>8.25</v>
      </c>
      <c r="E269" s="92">
        <v>8.25</v>
      </c>
      <c r="F269" s="92">
        <v>8.25</v>
      </c>
      <c r="G269" s="92">
        <v>8.25</v>
      </c>
      <c r="H269" s="92">
        <v>8.25</v>
      </c>
      <c r="I269" s="92">
        <v>8.25</v>
      </c>
      <c r="J269" s="92">
        <v>8.25</v>
      </c>
      <c r="K269" s="92">
        <v>8.25</v>
      </c>
      <c r="L269" s="92">
        <v>8.25</v>
      </c>
      <c r="M269" s="92">
        <v>8.25</v>
      </c>
      <c r="N269" s="92">
        <v>8.25</v>
      </c>
      <c r="O269" s="92">
        <v>8.25</v>
      </c>
      <c r="P269" s="92">
        <v>8.25</v>
      </c>
      <c r="Q269" s="93">
        <v>8.25</v>
      </c>
    </row>
    <row r="270" spans="1:17" x14ac:dyDescent="0.25">
      <c r="A270" s="52"/>
      <c r="B270" s="53" t="s">
        <v>56</v>
      </c>
      <c r="C270" s="54">
        <v>45904</v>
      </c>
      <c r="D270" s="92">
        <v>8.25</v>
      </c>
      <c r="E270" s="92">
        <v>8.25</v>
      </c>
      <c r="F270" s="77">
        <v>0</v>
      </c>
      <c r="G270" s="77">
        <v>0</v>
      </c>
      <c r="H270" s="92">
        <v>8.25</v>
      </c>
      <c r="I270" s="92">
        <v>8.25</v>
      </c>
      <c r="J270" s="92">
        <v>8.25</v>
      </c>
      <c r="K270" s="92">
        <v>8.25</v>
      </c>
      <c r="L270" s="92">
        <v>8.25</v>
      </c>
      <c r="M270" s="92">
        <v>8.25</v>
      </c>
      <c r="N270" s="92">
        <v>8.25</v>
      </c>
      <c r="O270" s="92">
        <v>8.25</v>
      </c>
      <c r="P270" s="92">
        <v>8.25</v>
      </c>
      <c r="Q270" s="93">
        <v>8.25</v>
      </c>
    </row>
    <row r="271" spans="1:17" x14ac:dyDescent="0.25">
      <c r="A271" s="52"/>
      <c r="B271" s="53" t="s">
        <v>57</v>
      </c>
      <c r="C271" s="54">
        <v>45905</v>
      </c>
      <c r="D271" s="92">
        <v>7</v>
      </c>
      <c r="E271" s="92">
        <v>7</v>
      </c>
      <c r="F271" s="77">
        <v>0</v>
      </c>
      <c r="G271" s="77">
        <v>0</v>
      </c>
      <c r="H271" s="92">
        <v>7</v>
      </c>
      <c r="I271" s="92">
        <v>7</v>
      </c>
      <c r="J271" s="92">
        <v>7</v>
      </c>
      <c r="K271" s="92">
        <v>7</v>
      </c>
      <c r="L271" s="92">
        <v>7</v>
      </c>
      <c r="M271" s="92">
        <v>7</v>
      </c>
      <c r="N271" s="92">
        <v>7</v>
      </c>
      <c r="O271" s="92">
        <v>7</v>
      </c>
      <c r="P271" s="92">
        <v>7</v>
      </c>
      <c r="Q271" s="93">
        <v>7</v>
      </c>
    </row>
    <row r="272" spans="1:17" x14ac:dyDescent="0.25">
      <c r="A272" s="49"/>
      <c r="B272" s="65" t="s">
        <v>58</v>
      </c>
      <c r="C272" s="66">
        <v>45906</v>
      </c>
      <c r="D272" s="67">
        <v>0</v>
      </c>
      <c r="E272" s="67">
        <v>0</v>
      </c>
      <c r="F272" s="77">
        <v>0</v>
      </c>
      <c r="G272" s="77">
        <v>0</v>
      </c>
      <c r="H272" s="67">
        <v>0</v>
      </c>
      <c r="I272" s="67">
        <v>0</v>
      </c>
      <c r="J272" s="67">
        <v>0</v>
      </c>
      <c r="K272" s="67">
        <v>0</v>
      </c>
      <c r="L272" s="67">
        <v>0</v>
      </c>
      <c r="M272" s="67">
        <v>0</v>
      </c>
      <c r="N272" s="67">
        <v>0</v>
      </c>
      <c r="O272" s="67">
        <v>0</v>
      </c>
      <c r="P272" s="67">
        <v>0</v>
      </c>
      <c r="Q272" s="68">
        <v>0</v>
      </c>
    </row>
    <row r="273" spans="1:17" x14ac:dyDescent="0.25">
      <c r="A273" s="49"/>
      <c r="B273" s="65" t="s">
        <v>59</v>
      </c>
      <c r="C273" s="66">
        <v>45907</v>
      </c>
      <c r="D273" s="67">
        <v>0</v>
      </c>
      <c r="E273" s="67">
        <v>0</v>
      </c>
      <c r="F273" s="77">
        <v>0</v>
      </c>
      <c r="G273" s="77">
        <v>0</v>
      </c>
      <c r="H273" s="67">
        <v>0</v>
      </c>
      <c r="I273" s="67">
        <v>0</v>
      </c>
      <c r="J273" s="67">
        <v>0</v>
      </c>
      <c r="K273" s="67">
        <v>0</v>
      </c>
      <c r="L273" s="67">
        <v>0</v>
      </c>
      <c r="M273" s="67">
        <v>0</v>
      </c>
      <c r="N273" s="67">
        <v>0</v>
      </c>
      <c r="O273" s="67">
        <v>0</v>
      </c>
      <c r="P273" s="67">
        <v>0</v>
      </c>
      <c r="Q273" s="68">
        <v>0</v>
      </c>
    </row>
    <row r="274" spans="1:17" x14ac:dyDescent="0.25">
      <c r="A274" s="52"/>
      <c r="B274" s="53" t="s">
        <v>60</v>
      </c>
      <c r="C274" s="54">
        <v>45908</v>
      </c>
      <c r="D274" s="92">
        <v>8.25</v>
      </c>
      <c r="E274" s="92">
        <v>8.25</v>
      </c>
      <c r="F274" s="77">
        <v>0</v>
      </c>
      <c r="G274" s="77">
        <v>0</v>
      </c>
      <c r="H274" s="92">
        <v>8.25</v>
      </c>
      <c r="I274" s="92">
        <v>8.25</v>
      </c>
      <c r="J274" s="92">
        <v>8.25</v>
      </c>
      <c r="K274" s="92">
        <v>8.25</v>
      </c>
      <c r="L274" s="92">
        <v>8.25</v>
      </c>
      <c r="M274" s="92">
        <v>8.25</v>
      </c>
      <c r="N274" s="92">
        <v>8.25</v>
      </c>
      <c r="O274" s="92">
        <v>8.25</v>
      </c>
      <c r="P274" s="92">
        <v>8.25</v>
      </c>
      <c r="Q274" s="93">
        <v>8.25</v>
      </c>
    </row>
    <row r="275" spans="1:17" x14ac:dyDescent="0.25">
      <c r="A275" s="52"/>
      <c r="B275" s="53" t="s">
        <v>61</v>
      </c>
      <c r="C275" s="54">
        <v>45909</v>
      </c>
      <c r="D275" s="92">
        <v>8.25</v>
      </c>
      <c r="E275" s="92">
        <v>8.25</v>
      </c>
      <c r="F275" s="77">
        <v>0</v>
      </c>
      <c r="G275" s="77">
        <v>0</v>
      </c>
      <c r="H275" s="92">
        <v>8.25</v>
      </c>
      <c r="I275" s="92">
        <v>8.25</v>
      </c>
      <c r="J275" s="92">
        <v>8.25</v>
      </c>
      <c r="K275" s="92">
        <v>8.25</v>
      </c>
      <c r="L275" s="92">
        <v>8.25</v>
      </c>
      <c r="M275" s="92">
        <v>8.25</v>
      </c>
      <c r="N275" s="92">
        <v>8.25</v>
      </c>
      <c r="O275" s="92">
        <v>8.25</v>
      </c>
      <c r="P275" s="92">
        <v>8.25</v>
      </c>
      <c r="Q275" s="93">
        <v>8.25</v>
      </c>
    </row>
    <row r="276" spans="1:17" x14ac:dyDescent="0.25">
      <c r="A276" s="52"/>
      <c r="B276" s="53" t="s">
        <v>55</v>
      </c>
      <c r="C276" s="54">
        <v>45910</v>
      </c>
      <c r="D276" s="92">
        <v>8.25</v>
      </c>
      <c r="E276" s="92">
        <v>8.25</v>
      </c>
      <c r="F276" s="77">
        <v>0</v>
      </c>
      <c r="G276" s="77">
        <v>0</v>
      </c>
      <c r="H276" s="92">
        <v>8.25</v>
      </c>
      <c r="I276" s="92">
        <v>8.25</v>
      </c>
      <c r="J276" s="92">
        <v>8.25</v>
      </c>
      <c r="K276" s="92">
        <v>8.25</v>
      </c>
      <c r="L276" s="92">
        <v>8.25</v>
      </c>
      <c r="M276" s="92">
        <v>8.25</v>
      </c>
      <c r="N276" s="92">
        <v>8.25</v>
      </c>
      <c r="O276" s="92">
        <v>8.25</v>
      </c>
      <c r="P276" s="92">
        <v>8.25</v>
      </c>
      <c r="Q276" s="93">
        <v>8.25</v>
      </c>
    </row>
    <row r="277" spans="1:17" x14ac:dyDescent="0.25">
      <c r="A277" s="52"/>
      <c r="B277" s="53" t="s">
        <v>56</v>
      </c>
      <c r="C277" s="54">
        <v>45911</v>
      </c>
      <c r="D277" s="92">
        <v>8.25</v>
      </c>
      <c r="E277" s="92">
        <v>8.25</v>
      </c>
      <c r="F277" s="77">
        <v>0</v>
      </c>
      <c r="G277" s="77">
        <v>0</v>
      </c>
      <c r="H277" s="92">
        <v>8.25</v>
      </c>
      <c r="I277" s="92">
        <v>8.25</v>
      </c>
      <c r="J277" s="77">
        <v>0</v>
      </c>
      <c r="K277" s="92">
        <v>8.25</v>
      </c>
      <c r="L277" s="92">
        <v>8.25</v>
      </c>
      <c r="M277" s="92">
        <v>8.25</v>
      </c>
      <c r="N277" s="92">
        <v>8.25</v>
      </c>
      <c r="O277" s="92">
        <v>8.25</v>
      </c>
      <c r="P277" s="92">
        <v>8.25</v>
      </c>
      <c r="Q277" s="93">
        <v>8.25</v>
      </c>
    </row>
    <row r="278" spans="1:17" x14ac:dyDescent="0.25">
      <c r="A278" s="52"/>
      <c r="B278" s="53" t="s">
        <v>57</v>
      </c>
      <c r="C278" s="54">
        <v>45912</v>
      </c>
      <c r="D278" s="92">
        <v>7</v>
      </c>
      <c r="E278" s="92">
        <v>7</v>
      </c>
      <c r="F278" s="77">
        <v>0</v>
      </c>
      <c r="G278" s="77">
        <v>0</v>
      </c>
      <c r="H278" s="92">
        <v>7</v>
      </c>
      <c r="I278" s="92">
        <v>7</v>
      </c>
      <c r="J278" s="77">
        <v>0</v>
      </c>
      <c r="K278" s="92">
        <v>7</v>
      </c>
      <c r="L278" s="92">
        <v>7</v>
      </c>
      <c r="M278" s="92">
        <v>7</v>
      </c>
      <c r="N278" s="92">
        <v>7</v>
      </c>
      <c r="O278" s="92">
        <v>7</v>
      </c>
      <c r="P278" s="92">
        <v>7</v>
      </c>
      <c r="Q278" s="93">
        <v>7</v>
      </c>
    </row>
    <row r="279" spans="1:17" x14ac:dyDescent="0.25">
      <c r="A279" s="49"/>
      <c r="B279" s="65" t="s">
        <v>58</v>
      </c>
      <c r="C279" s="66">
        <v>45913</v>
      </c>
      <c r="D279" s="67">
        <v>0</v>
      </c>
      <c r="E279" s="67">
        <v>0</v>
      </c>
      <c r="F279" s="77">
        <v>0</v>
      </c>
      <c r="G279" s="77">
        <v>0</v>
      </c>
      <c r="H279" s="67">
        <v>0</v>
      </c>
      <c r="I279" s="67">
        <v>0</v>
      </c>
      <c r="J279" s="77">
        <v>0</v>
      </c>
      <c r="K279" s="67">
        <v>0</v>
      </c>
      <c r="L279" s="67">
        <v>0</v>
      </c>
      <c r="M279" s="67">
        <v>0</v>
      </c>
      <c r="N279" s="67">
        <v>0</v>
      </c>
      <c r="O279" s="67">
        <v>0</v>
      </c>
      <c r="P279" s="67">
        <v>0</v>
      </c>
      <c r="Q279" s="68">
        <v>0</v>
      </c>
    </row>
    <row r="280" spans="1:17" x14ac:dyDescent="0.25">
      <c r="A280" s="49"/>
      <c r="B280" s="65" t="s">
        <v>59</v>
      </c>
      <c r="C280" s="66">
        <v>45914</v>
      </c>
      <c r="D280" s="67">
        <v>0</v>
      </c>
      <c r="E280" s="67">
        <v>0</v>
      </c>
      <c r="F280" s="77">
        <v>0</v>
      </c>
      <c r="G280" s="77">
        <v>0</v>
      </c>
      <c r="H280" s="67">
        <v>0</v>
      </c>
      <c r="I280" s="67">
        <v>0</v>
      </c>
      <c r="J280" s="77">
        <v>0</v>
      </c>
      <c r="K280" s="67">
        <v>0</v>
      </c>
      <c r="L280" s="67">
        <v>0</v>
      </c>
      <c r="M280" s="67">
        <v>0</v>
      </c>
      <c r="N280" s="67">
        <v>0</v>
      </c>
      <c r="O280" s="67">
        <v>0</v>
      </c>
      <c r="P280" s="67">
        <v>0</v>
      </c>
      <c r="Q280" s="68">
        <v>0</v>
      </c>
    </row>
    <row r="281" spans="1:17" x14ac:dyDescent="0.25">
      <c r="A281" s="52"/>
      <c r="B281" s="53" t="s">
        <v>60</v>
      </c>
      <c r="C281" s="54">
        <v>45915</v>
      </c>
      <c r="D281" s="92">
        <v>8.25</v>
      </c>
      <c r="E281" s="92">
        <v>8.25</v>
      </c>
      <c r="F281" s="77">
        <v>0</v>
      </c>
      <c r="G281" s="77">
        <v>0</v>
      </c>
      <c r="H281" s="92">
        <v>8.25</v>
      </c>
      <c r="I281" s="92">
        <v>8.25</v>
      </c>
      <c r="J281" s="77">
        <v>0</v>
      </c>
      <c r="K281" s="92">
        <v>8.25</v>
      </c>
      <c r="L281" s="92">
        <v>8.25</v>
      </c>
      <c r="M281" s="92">
        <v>8.25</v>
      </c>
      <c r="N281" s="92">
        <v>8.25</v>
      </c>
      <c r="O281" s="92">
        <v>8.25</v>
      </c>
      <c r="P281" s="92">
        <v>8.25</v>
      </c>
      <c r="Q281" s="93">
        <v>8.25</v>
      </c>
    </row>
    <row r="282" spans="1:17" x14ac:dyDescent="0.25">
      <c r="A282" s="52"/>
      <c r="B282" s="53" t="s">
        <v>61</v>
      </c>
      <c r="C282" s="54">
        <v>45916</v>
      </c>
      <c r="D282" s="92">
        <v>8.25</v>
      </c>
      <c r="E282" s="92">
        <v>8.25</v>
      </c>
      <c r="F282" s="77">
        <v>0</v>
      </c>
      <c r="G282" s="77">
        <v>0</v>
      </c>
      <c r="H282" s="92">
        <v>8.25</v>
      </c>
      <c r="I282" s="77">
        <v>0</v>
      </c>
      <c r="J282" s="92">
        <v>8.25</v>
      </c>
      <c r="K282" s="92">
        <v>8.25</v>
      </c>
      <c r="L282" s="92">
        <v>8.25</v>
      </c>
      <c r="M282" s="77">
        <v>0</v>
      </c>
      <c r="N282" s="92">
        <v>8.25</v>
      </c>
      <c r="O282" s="92">
        <v>8.25</v>
      </c>
      <c r="P282" s="92">
        <v>8.25</v>
      </c>
      <c r="Q282" s="93">
        <v>8.25</v>
      </c>
    </row>
    <row r="283" spans="1:17" x14ac:dyDescent="0.25">
      <c r="A283" s="52"/>
      <c r="B283" s="53" t="s">
        <v>55</v>
      </c>
      <c r="C283" s="54">
        <v>45917</v>
      </c>
      <c r="D283" s="92">
        <v>8.25</v>
      </c>
      <c r="E283" s="92">
        <v>8.25</v>
      </c>
      <c r="F283" s="77">
        <v>0</v>
      </c>
      <c r="G283" s="77">
        <v>0</v>
      </c>
      <c r="H283" s="92">
        <v>8.25</v>
      </c>
      <c r="I283" s="77">
        <v>0</v>
      </c>
      <c r="J283" s="92">
        <v>8.25</v>
      </c>
      <c r="K283" s="92">
        <v>8.25</v>
      </c>
      <c r="L283" s="92">
        <v>8.25</v>
      </c>
      <c r="M283" s="77">
        <v>0</v>
      </c>
      <c r="N283" s="92">
        <v>8.25</v>
      </c>
      <c r="O283" s="92">
        <v>8.25</v>
      </c>
      <c r="P283" s="92">
        <v>8.25</v>
      </c>
      <c r="Q283" s="80">
        <v>0</v>
      </c>
    </row>
    <row r="284" spans="1:17" x14ac:dyDescent="0.25">
      <c r="A284" s="52"/>
      <c r="B284" s="53" t="s">
        <v>56</v>
      </c>
      <c r="C284" s="54">
        <v>45918</v>
      </c>
      <c r="D284" s="92">
        <v>8.25</v>
      </c>
      <c r="E284" s="92">
        <v>8.25</v>
      </c>
      <c r="F284" s="92">
        <v>8.25</v>
      </c>
      <c r="G284" s="92">
        <v>8.25</v>
      </c>
      <c r="H284" s="92">
        <v>8.25</v>
      </c>
      <c r="I284" s="77">
        <v>0</v>
      </c>
      <c r="J284" s="92">
        <v>8.25</v>
      </c>
      <c r="K284" s="92">
        <v>8.25</v>
      </c>
      <c r="L284" s="92">
        <v>8.25</v>
      </c>
      <c r="M284" s="77">
        <v>0</v>
      </c>
      <c r="N284" s="92">
        <v>8.25</v>
      </c>
      <c r="O284" s="92">
        <v>8.25</v>
      </c>
      <c r="P284" s="92">
        <v>8.25</v>
      </c>
      <c r="Q284" s="80">
        <v>0</v>
      </c>
    </row>
    <row r="285" spans="1:17" x14ac:dyDescent="0.25">
      <c r="A285" s="52"/>
      <c r="B285" s="53" t="s">
        <v>57</v>
      </c>
      <c r="C285" s="54">
        <v>45919</v>
      </c>
      <c r="D285" s="92">
        <v>7</v>
      </c>
      <c r="E285" s="92">
        <v>7</v>
      </c>
      <c r="F285" s="92">
        <v>7</v>
      </c>
      <c r="G285" s="92">
        <v>7</v>
      </c>
      <c r="H285" s="92">
        <v>7</v>
      </c>
      <c r="I285" s="77">
        <v>0</v>
      </c>
      <c r="J285" s="92">
        <v>7</v>
      </c>
      <c r="K285" s="92">
        <v>7</v>
      </c>
      <c r="L285" s="92">
        <v>7</v>
      </c>
      <c r="M285" s="77">
        <v>0</v>
      </c>
      <c r="N285" s="92">
        <v>7</v>
      </c>
      <c r="O285" s="92">
        <v>7</v>
      </c>
      <c r="P285" s="92">
        <v>7</v>
      </c>
      <c r="Q285" s="80">
        <v>0</v>
      </c>
    </row>
    <row r="286" spans="1:17" x14ac:dyDescent="0.25">
      <c r="A286" s="49"/>
      <c r="B286" s="65" t="s">
        <v>58</v>
      </c>
      <c r="C286" s="66">
        <v>45920</v>
      </c>
      <c r="D286" s="67">
        <v>0</v>
      </c>
      <c r="E286" s="67">
        <v>0</v>
      </c>
      <c r="F286" s="67">
        <v>0</v>
      </c>
      <c r="G286" s="67">
        <v>0</v>
      </c>
      <c r="H286" s="67">
        <v>0</v>
      </c>
      <c r="I286" s="77">
        <v>0</v>
      </c>
      <c r="J286" s="67">
        <v>0</v>
      </c>
      <c r="K286" s="67">
        <v>0</v>
      </c>
      <c r="L286" s="67">
        <v>0</v>
      </c>
      <c r="M286" s="67">
        <v>0</v>
      </c>
      <c r="N286" s="67">
        <v>0</v>
      </c>
      <c r="O286" s="67">
        <v>0</v>
      </c>
      <c r="P286" s="67">
        <v>0</v>
      </c>
      <c r="Q286" s="80">
        <v>0</v>
      </c>
    </row>
    <row r="287" spans="1:17" x14ac:dyDescent="0.25">
      <c r="A287" s="49"/>
      <c r="B287" s="65" t="s">
        <v>59</v>
      </c>
      <c r="C287" s="66">
        <v>45921</v>
      </c>
      <c r="D287" s="67">
        <v>0</v>
      </c>
      <c r="E287" s="67">
        <v>0</v>
      </c>
      <c r="F287" s="67">
        <v>0</v>
      </c>
      <c r="G287" s="67">
        <v>0</v>
      </c>
      <c r="H287" s="67">
        <v>0</v>
      </c>
      <c r="I287" s="77">
        <v>0</v>
      </c>
      <c r="J287" s="67">
        <v>0</v>
      </c>
      <c r="K287" s="67">
        <v>0</v>
      </c>
      <c r="L287" s="67">
        <v>0</v>
      </c>
      <c r="M287" s="67">
        <v>0</v>
      </c>
      <c r="N287" s="67">
        <v>0</v>
      </c>
      <c r="O287" s="67">
        <v>0</v>
      </c>
      <c r="P287" s="67">
        <v>0</v>
      </c>
      <c r="Q287" s="80">
        <v>0</v>
      </c>
    </row>
    <row r="288" spans="1:17" x14ac:dyDescent="0.25">
      <c r="A288" s="52"/>
      <c r="B288" s="53" t="s">
        <v>60</v>
      </c>
      <c r="C288" s="54">
        <v>45922</v>
      </c>
      <c r="D288" s="92">
        <v>8.25</v>
      </c>
      <c r="E288" s="92">
        <v>8.25</v>
      </c>
      <c r="F288" s="92">
        <v>8.25</v>
      </c>
      <c r="G288" s="92">
        <v>8.25</v>
      </c>
      <c r="H288" s="92">
        <v>8.25</v>
      </c>
      <c r="I288" s="77">
        <v>0</v>
      </c>
      <c r="J288" s="92">
        <v>8.25</v>
      </c>
      <c r="K288" s="92">
        <v>8.25</v>
      </c>
      <c r="L288" s="92">
        <v>8.25</v>
      </c>
      <c r="M288" s="92">
        <v>8.25</v>
      </c>
      <c r="N288" s="92">
        <v>8.25</v>
      </c>
      <c r="O288" s="92">
        <v>8.25</v>
      </c>
      <c r="P288" s="92">
        <v>8.25</v>
      </c>
      <c r="Q288" s="93">
        <v>8.25</v>
      </c>
    </row>
    <row r="289" spans="1:17" x14ac:dyDescent="0.25">
      <c r="A289" s="52"/>
      <c r="B289" s="53" t="s">
        <v>61</v>
      </c>
      <c r="C289" s="54">
        <v>45923</v>
      </c>
      <c r="D289" s="92">
        <v>8.25</v>
      </c>
      <c r="E289" s="92">
        <v>8.25</v>
      </c>
      <c r="F289" s="92">
        <v>8.25</v>
      </c>
      <c r="G289" s="92">
        <v>8.25</v>
      </c>
      <c r="H289" s="92">
        <v>8.25</v>
      </c>
      <c r="I289" s="77">
        <v>0</v>
      </c>
      <c r="J289" s="92">
        <v>8.25</v>
      </c>
      <c r="K289" s="92">
        <v>8.25</v>
      </c>
      <c r="L289" s="92">
        <v>8.25</v>
      </c>
      <c r="M289" s="92">
        <v>8.25</v>
      </c>
      <c r="N289" s="92">
        <v>8.25</v>
      </c>
      <c r="O289" s="92">
        <v>8.25</v>
      </c>
      <c r="P289" s="92">
        <v>8.25</v>
      </c>
      <c r="Q289" s="93">
        <v>8.25</v>
      </c>
    </row>
    <row r="290" spans="1:17" x14ac:dyDescent="0.25">
      <c r="A290" s="52"/>
      <c r="B290" s="53" t="s">
        <v>55</v>
      </c>
      <c r="C290" s="54">
        <v>45924</v>
      </c>
      <c r="D290" s="92">
        <v>8.25</v>
      </c>
      <c r="E290" s="92">
        <v>8.25</v>
      </c>
      <c r="F290" s="92">
        <v>8.25</v>
      </c>
      <c r="G290" s="92">
        <v>8.25</v>
      </c>
      <c r="H290" s="92">
        <v>8.25</v>
      </c>
      <c r="I290" s="77">
        <v>0</v>
      </c>
      <c r="J290" s="92">
        <v>8.25</v>
      </c>
      <c r="K290" s="92">
        <v>8.25</v>
      </c>
      <c r="L290" s="92">
        <v>8.25</v>
      </c>
      <c r="M290" s="92">
        <v>8.25</v>
      </c>
      <c r="N290" s="92">
        <v>8.25</v>
      </c>
      <c r="O290" s="92">
        <v>8.25</v>
      </c>
      <c r="P290" s="92">
        <v>8.25</v>
      </c>
      <c r="Q290" s="93">
        <v>8.25</v>
      </c>
    </row>
    <row r="291" spans="1:17" x14ac:dyDescent="0.25">
      <c r="A291" s="52"/>
      <c r="B291" s="53" t="s">
        <v>56</v>
      </c>
      <c r="C291" s="54">
        <v>45925</v>
      </c>
      <c r="D291" s="92">
        <v>8.25</v>
      </c>
      <c r="E291" s="92">
        <v>8.25</v>
      </c>
      <c r="F291" s="92">
        <v>8.25</v>
      </c>
      <c r="G291" s="92">
        <v>8.25</v>
      </c>
      <c r="H291" s="92">
        <v>8.25</v>
      </c>
      <c r="I291" s="77">
        <v>0</v>
      </c>
      <c r="J291" s="92">
        <v>8.25</v>
      </c>
      <c r="K291" s="92">
        <v>8.25</v>
      </c>
      <c r="L291" s="92">
        <v>8.25</v>
      </c>
      <c r="M291" s="92">
        <v>8.25</v>
      </c>
      <c r="N291" s="92">
        <v>8.25</v>
      </c>
      <c r="O291" s="92">
        <v>8.25</v>
      </c>
      <c r="P291" s="92">
        <v>8.25</v>
      </c>
      <c r="Q291" s="93">
        <v>8.25</v>
      </c>
    </row>
    <row r="292" spans="1:17" x14ac:dyDescent="0.25">
      <c r="A292" s="52"/>
      <c r="B292" s="53" t="s">
        <v>57</v>
      </c>
      <c r="C292" s="54">
        <v>45926</v>
      </c>
      <c r="D292" s="92">
        <v>7</v>
      </c>
      <c r="E292" s="92">
        <v>7</v>
      </c>
      <c r="F292" s="92">
        <v>7</v>
      </c>
      <c r="G292" s="92">
        <v>7</v>
      </c>
      <c r="H292" s="92">
        <v>7</v>
      </c>
      <c r="I292" s="77">
        <v>0</v>
      </c>
      <c r="J292" s="92">
        <v>7</v>
      </c>
      <c r="K292" s="92">
        <v>7</v>
      </c>
      <c r="L292" s="92">
        <v>7</v>
      </c>
      <c r="M292" s="92">
        <v>7</v>
      </c>
      <c r="N292" s="92">
        <v>7</v>
      </c>
      <c r="O292" s="92">
        <v>7</v>
      </c>
      <c r="P292" s="92">
        <v>7</v>
      </c>
      <c r="Q292" s="93">
        <v>7</v>
      </c>
    </row>
    <row r="293" spans="1:17" x14ac:dyDescent="0.25">
      <c r="A293" s="49"/>
      <c r="B293" s="65" t="s">
        <v>58</v>
      </c>
      <c r="C293" s="66">
        <v>45927</v>
      </c>
      <c r="D293" s="67">
        <v>0</v>
      </c>
      <c r="E293" s="67">
        <v>0</v>
      </c>
      <c r="F293" s="67">
        <v>0</v>
      </c>
      <c r="G293" s="67">
        <v>0</v>
      </c>
      <c r="H293" s="67">
        <v>0</v>
      </c>
      <c r="I293" s="77">
        <v>0</v>
      </c>
      <c r="J293" s="67">
        <v>0</v>
      </c>
      <c r="K293" s="67">
        <v>0</v>
      </c>
      <c r="L293" s="67">
        <v>0</v>
      </c>
      <c r="M293" s="67">
        <v>0</v>
      </c>
      <c r="N293" s="67">
        <v>0</v>
      </c>
      <c r="O293" s="67">
        <v>0</v>
      </c>
      <c r="P293" s="67">
        <v>0</v>
      </c>
      <c r="Q293" s="68">
        <v>0</v>
      </c>
    </row>
    <row r="294" spans="1:17" x14ac:dyDescent="0.25">
      <c r="A294" s="49"/>
      <c r="B294" s="65" t="s">
        <v>59</v>
      </c>
      <c r="C294" s="66">
        <v>45928</v>
      </c>
      <c r="D294" s="67">
        <v>0</v>
      </c>
      <c r="E294" s="67">
        <v>0</v>
      </c>
      <c r="F294" s="67">
        <v>0</v>
      </c>
      <c r="G294" s="67">
        <v>0</v>
      </c>
      <c r="H294" s="67">
        <v>0</v>
      </c>
      <c r="I294" s="77">
        <v>0</v>
      </c>
      <c r="J294" s="67">
        <v>0</v>
      </c>
      <c r="K294" s="67">
        <v>0</v>
      </c>
      <c r="L294" s="67">
        <v>0</v>
      </c>
      <c r="M294" s="67">
        <v>0</v>
      </c>
      <c r="N294" s="67">
        <v>0</v>
      </c>
      <c r="O294" s="67">
        <v>0</v>
      </c>
      <c r="P294" s="67">
        <v>0</v>
      </c>
      <c r="Q294" s="68">
        <v>0</v>
      </c>
    </row>
    <row r="295" spans="1:17" x14ac:dyDescent="0.25">
      <c r="A295" s="52"/>
      <c r="B295" s="53" t="s">
        <v>60</v>
      </c>
      <c r="C295" s="54">
        <v>45929</v>
      </c>
      <c r="D295" s="92">
        <v>8.25</v>
      </c>
      <c r="E295" s="92">
        <v>8.25</v>
      </c>
      <c r="F295" s="92">
        <v>8.25</v>
      </c>
      <c r="G295" s="92">
        <v>8.25</v>
      </c>
      <c r="H295" s="92">
        <v>8.25</v>
      </c>
      <c r="I295" s="77">
        <v>0</v>
      </c>
      <c r="J295" s="92">
        <v>8.25</v>
      </c>
      <c r="K295" s="92">
        <v>8.25</v>
      </c>
      <c r="L295" s="92">
        <v>8.25</v>
      </c>
      <c r="M295" s="92">
        <v>8.25</v>
      </c>
      <c r="N295" s="92">
        <v>8.25</v>
      </c>
      <c r="O295" s="92">
        <v>8.25</v>
      </c>
      <c r="P295" s="92">
        <v>8.25</v>
      </c>
      <c r="Q295" s="93">
        <v>8.25</v>
      </c>
    </row>
    <row r="296" spans="1:17" ht="15.75" thickBot="1" x14ac:dyDescent="0.3">
      <c r="A296" s="52"/>
      <c r="B296" s="55" t="s">
        <v>61</v>
      </c>
      <c r="C296" s="56">
        <v>45930</v>
      </c>
      <c r="D296" s="94">
        <v>8.25</v>
      </c>
      <c r="E296" s="94">
        <v>8.25</v>
      </c>
      <c r="F296" s="94">
        <v>8.25</v>
      </c>
      <c r="G296" s="94">
        <v>8.25</v>
      </c>
      <c r="H296" s="94">
        <v>8.25</v>
      </c>
      <c r="I296" s="94">
        <v>8.25</v>
      </c>
      <c r="J296" s="94">
        <v>8.25</v>
      </c>
      <c r="K296" s="94">
        <v>8.25</v>
      </c>
      <c r="L296" s="94">
        <v>8.25</v>
      </c>
      <c r="M296" s="94">
        <v>8.25</v>
      </c>
      <c r="N296" s="94">
        <v>8.25</v>
      </c>
      <c r="O296" s="94">
        <v>8.25</v>
      </c>
      <c r="P296" s="94">
        <v>8.25</v>
      </c>
      <c r="Q296" s="95">
        <v>8.25</v>
      </c>
    </row>
    <row r="297" spans="1:17" x14ac:dyDescent="0.25">
      <c r="A297" s="52"/>
      <c r="B297" s="57" t="s">
        <v>55</v>
      </c>
      <c r="C297" s="58">
        <v>45931</v>
      </c>
      <c r="D297" s="90">
        <v>8.25</v>
      </c>
      <c r="E297" s="90">
        <v>8.25</v>
      </c>
      <c r="F297" s="90">
        <v>8.25</v>
      </c>
      <c r="G297" s="90">
        <v>8.25</v>
      </c>
      <c r="H297" s="90">
        <v>8.25</v>
      </c>
      <c r="I297" s="90">
        <v>8.25</v>
      </c>
      <c r="J297" s="90">
        <v>8.25</v>
      </c>
      <c r="K297" s="90">
        <v>8.25</v>
      </c>
      <c r="L297" s="90">
        <v>8.25</v>
      </c>
      <c r="M297" s="90">
        <v>8.25</v>
      </c>
      <c r="N297" s="90">
        <v>8.25</v>
      </c>
      <c r="O297" s="90">
        <v>8.25</v>
      </c>
      <c r="P297" s="90">
        <v>8.25</v>
      </c>
      <c r="Q297" s="91">
        <v>8.25</v>
      </c>
    </row>
    <row r="298" spans="1:17" x14ac:dyDescent="0.25">
      <c r="A298" s="52"/>
      <c r="B298" s="53" t="s">
        <v>56</v>
      </c>
      <c r="C298" s="54">
        <v>45932</v>
      </c>
      <c r="D298" s="92">
        <v>8.25</v>
      </c>
      <c r="E298" s="92">
        <v>8.25</v>
      </c>
      <c r="F298" s="92">
        <v>8.25</v>
      </c>
      <c r="G298" s="92">
        <v>8.25</v>
      </c>
      <c r="H298" s="92">
        <v>8.25</v>
      </c>
      <c r="I298" s="92">
        <v>8.25</v>
      </c>
      <c r="J298" s="92">
        <v>8.25</v>
      </c>
      <c r="K298" s="92">
        <v>8.25</v>
      </c>
      <c r="L298" s="92">
        <v>8.25</v>
      </c>
      <c r="M298" s="92">
        <v>8.25</v>
      </c>
      <c r="N298" s="92">
        <v>8.25</v>
      </c>
      <c r="O298" s="92">
        <v>8.25</v>
      </c>
      <c r="P298" s="92">
        <v>8.25</v>
      </c>
      <c r="Q298" s="93">
        <v>8.25</v>
      </c>
    </row>
    <row r="299" spans="1:17" x14ac:dyDescent="0.25">
      <c r="A299" s="52"/>
      <c r="B299" s="53" t="s">
        <v>57</v>
      </c>
      <c r="C299" s="54">
        <v>45933</v>
      </c>
      <c r="D299" s="92">
        <v>7</v>
      </c>
      <c r="E299" s="77">
        <v>0</v>
      </c>
      <c r="F299" s="92">
        <v>7</v>
      </c>
      <c r="G299" s="92">
        <v>7</v>
      </c>
      <c r="H299" s="92">
        <v>7</v>
      </c>
      <c r="I299" s="92">
        <v>7</v>
      </c>
      <c r="J299" s="92">
        <v>7</v>
      </c>
      <c r="K299" s="92">
        <v>7</v>
      </c>
      <c r="L299" s="92">
        <v>7</v>
      </c>
      <c r="M299" s="92">
        <v>7</v>
      </c>
      <c r="N299" s="92">
        <v>7</v>
      </c>
      <c r="O299" s="92">
        <v>7</v>
      </c>
      <c r="P299" s="92">
        <v>7</v>
      </c>
      <c r="Q299" s="93">
        <v>7</v>
      </c>
    </row>
    <row r="300" spans="1:17" x14ac:dyDescent="0.25">
      <c r="A300" s="49"/>
      <c r="B300" s="65" t="s">
        <v>58</v>
      </c>
      <c r="C300" s="66">
        <v>45934</v>
      </c>
      <c r="D300" s="67">
        <v>0</v>
      </c>
      <c r="E300" s="77">
        <v>0</v>
      </c>
      <c r="F300" s="67">
        <v>0</v>
      </c>
      <c r="G300" s="67">
        <v>0</v>
      </c>
      <c r="H300" s="67">
        <v>0</v>
      </c>
      <c r="I300" s="67">
        <v>0</v>
      </c>
      <c r="J300" s="67">
        <v>0</v>
      </c>
      <c r="K300" s="67">
        <v>0</v>
      </c>
      <c r="L300" s="67">
        <v>0</v>
      </c>
      <c r="M300" s="67">
        <v>0</v>
      </c>
      <c r="N300" s="67">
        <v>0</v>
      </c>
      <c r="O300" s="67">
        <v>0</v>
      </c>
      <c r="P300" s="67">
        <v>0</v>
      </c>
      <c r="Q300" s="68">
        <v>0</v>
      </c>
    </row>
    <row r="301" spans="1:17" x14ac:dyDescent="0.25">
      <c r="A301" s="49"/>
      <c r="B301" s="65" t="s">
        <v>59</v>
      </c>
      <c r="C301" s="66">
        <v>45935</v>
      </c>
      <c r="D301" s="67">
        <v>0</v>
      </c>
      <c r="E301" s="77">
        <v>0</v>
      </c>
      <c r="F301" s="67">
        <v>0</v>
      </c>
      <c r="G301" s="67">
        <v>0</v>
      </c>
      <c r="H301" s="67">
        <v>0</v>
      </c>
      <c r="I301" s="67">
        <v>0</v>
      </c>
      <c r="J301" s="67">
        <v>0</v>
      </c>
      <c r="K301" s="77">
        <v>0</v>
      </c>
      <c r="L301" s="67">
        <v>0</v>
      </c>
      <c r="M301" s="67">
        <v>0</v>
      </c>
      <c r="N301" s="67">
        <v>0</v>
      </c>
      <c r="O301" s="67">
        <v>0</v>
      </c>
      <c r="P301" s="67">
        <v>0</v>
      </c>
      <c r="Q301" s="68">
        <v>0</v>
      </c>
    </row>
    <row r="302" spans="1:17" x14ac:dyDescent="0.25">
      <c r="A302" s="52"/>
      <c r="B302" s="53" t="s">
        <v>60</v>
      </c>
      <c r="C302" s="54">
        <v>45936</v>
      </c>
      <c r="D302" s="92">
        <v>8.25</v>
      </c>
      <c r="E302" s="77">
        <v>0</v>
      </c>
      <c r="F302" s="92">
        <v>8.25</v>
      </c>
      <c r="G302" s="92">
        <v>8.25</v>
      </c>
      <c r="H302" s="92">
        <v>8.25</v>
      </c>
      <c r="I302" s="92">
        <v>8.25</v>
      </c>
      <c r="J302" s="92">
        <v>8.25</v>
      </c>
      <c r="K302" s="77">
        <v>0</v>
      </c>
      <c r="L302" s="92">
        <v>8.25</v>
      </c>
      <c r="M302" s="92">
        <v>8.25</v>
      </c>
      <c r="N302" s="92">
        <v>8.25</v>
      </c>
      <c r="O302" s="92">
        <v>8.25</v>
      </c>
      <c r="P302" s="92">
        <v>8.25</v>
      </c>
      <c r="Q302" s="93">
        <v>8.25</v>
      </c>
    </row>
    <row r="303" spans="1:17" x14ac:dyDescent="0.25">
      <c r="A303" s="52"/>
      <c r="B303" s="53" t="s">
        <v>61</v>
      </c>
      <c r="C303" s="54">
        <v>45937</v>
      </c>
      <c r="D303" s="92">
        <v>8.25</v>
      </c>
      <c r="E303" s="77">
        <v>0</v>
      </c>
      <c r="F303" s="92">
        <v>8.25</v>
      </c>
      <c r="G303" s="92">
        <v>8.25</v>
      </c>
      <c r="H303" s="92">
        <v>8.25</v>
      </c>
      <c r="I303" s="92">
        <v>8.25</v>
      </c>
      <c r="J303" s="92">
        <v>8.25</v>
      </c>
      <c r="K303" s="77">
        <v>0</v>
      </c>
      <c r="L303" s="92">
        <v>8.25</v>
      </c>
      <c r="M303" s="92">
        <v>8.25</v>
      </c>
      <c r="N303" s="92">
        <v>8.25</v>
      </c>
      <c r="O303" s="92">
        <v>8.25</v>
      </c>
      <c r="P303" s="92">
        <v>8.25</v>
      </c>
      <c r="Q303" s="93">
        <v>8.25</v>
      </c>
    </row>
    <row r="304" spans="1:17" x14ac:dyDescent="0.25">
      <c r="A304" s="52"/>
      <c r="B304" s="53" t="s">
        <v>55</v>
      </c>
      <c r="C304" s="54">
        <v>45938</v>
      </c>
      <c r="D304" s="92">
        <v>8.25</v>
      </c>
      <c r="E304" s="77">
        <v>0</v>
      </c>
      <c r="F304" s="92">
        <v>8.25</v>
      </c>
      <c r="G304" s="92">
        <v>8.25</v>
      </c>
      <c r="H304" s="92">
        <v>8.25</v>
      </c>
      <c r="I304" s="92">
        <v>8.25</v>
      </c>
      <c r="J304" s="92">
        <v>8.25</v>
      </c>
      <c r="K304" s="77">
        <v>0</v>
      </c>
      <c r="L304" s="92">
        <v>8.25</v>
      </c>
      <c r="M304" s="92">
        <v>8.25</v>
      </c>
      <c r="N304" s="92">
        <v>8.25</v>
      </c>
      <c r="O304" s="92">
        <v>8.25</v>
      </c>
      <c r="P304" s="92">
        <v>8.25</v>
      </c>
      <c r="Q304" s="93">
        <v>8.25</v>
      </c>
    </row>
    <row r="305" spans="1:17" x14ac:dyDescent="0.25">
      <c r="A305" s="52"/>
      <c r="B305" s="53" t="s">
        <v>56</v>
      </c>
      <c r="C305" s="54">
        <v>45939</v>
      </c>
      <c r="D305" s="92">
        <v>8.25</v>
      </c>
      <c r="E305" s="77">
        <v>0</v>
      </c>
      <c r="F305" s="92">
        <v>8.25</v>
      </c>
      <c r="G305" s="77">
        <v>0</v>
      </c>
      <c r="H305" s="92">
        <v>8.25</v>
      </c>
      <c r="I305" s="92">
        <v>8.25</v>
      </c>
      <c r="J305" s="92">
        <v>8.25</v>
      </c>
      <c r="K305" s="92">
        <v>8.25</v>
      </c>
      <c r="L305" s="92">
        <v>8.25</v>
      </c>
      <c r="M305" s="92">
        <v>8.25</v>
      </c>
      <c r="N305" s="92">
        <v>8.25</v>
      </c>
      <c r="O305" s="92">
        <v>8.25</v>
      </c>
      <c r="P305" s="92">
        <v>8.25</v>
      </c>
      <c r="Q305" s="93">
        <v>8.25</v>
      </c>
    </row>
    <row r="306" spans="1:17" x14ac:dyDescent="0.25">
      <c r="A306" s="52"/>
      <c r="B306" s="53" t="s">
        <v>57</v>
      </c>
      <c r="C306" s="54">
        <v>45940</v>
      </c>
      <c r="D306" s="92">
        <v>7</v>
      </c>
      <c r="E306" s="77">
        <v>0</v>
      </c>
      <c r="F306" s="92">
        <v>7</v>
      </c>
      <c r="G306" s="77">
        <v>0</v>
      </c>
      <c r="H306" s="77">
        <v>0</v>
      </c>
      <c r="I306" s="92">
        <v>7</v>
      </c>
      <c r="J306" s="92">
        <v>7</v>
      </c>
      <c r="K306" s="92">
        <v>7</v>
      </c>
      <c r="L306" s="92">
        <v>7</v>
      </c>
      <c r="M306" s="92">
        <v>7</v>
      </c>
      <c r="N306" s="92">
        <v>7</v>
      </c>
      <c r="O306" s="92">
        <v>7</v>
      </c>
      <c r="P306" s="92">
        <v>7</v>
      </c>
      <c r="Q306" s="93">
        <v>7</v>
      </c>
    </row>
    <row r="307" spans="1:17" x14ac:dyDescent="0.25">
      <c r="A307" s="49"/>
      <c r="B307" s="65" t="s">
        <v>58</v>
      </c>
      <c r="C307" s="66">
        <v>45941</v>
      </c>
      <c r="D307" s="67">
        <v>0</v>
      </c>
      <c r="E307" s="77">
        <v>0</v>
      </c>
      <c r="F307" s="67">
        <v>0</v>
      </c>
      <c r="G307" s="77">
        <v>0</v>
      </c>
      <c r="H307" s="77">
        <v>0</v>
      </c>
      <c r="I307" s="67">
        <v>0</v>
      </c>
      <c r="J307" s="67">
        <v>0</v>
      </c>
      <c r="K307" s="67">
        <v>0</v>
      </c>
      <c r="L307" s="67">
        <v>0</v>
      </c>
      <c r="M307" s="67">
        <v>0</v>
      </c>
      <c r="N307" s="67">
        <v>0</v>
      </c>
      <c r="O307" s="67">
        <v>0</v>
      </c>
      <c r="P307" s="67">
        <v>0</v>
      </c>
      <c r="Q307" s="68">
        <v>0</v>
      </c>
    </row>
    <row r="308" spans="1:17" x14ac:dyDescent="0.25">
      <c r="A308" s="49"/>
      <c r="B308" s="65" t="s">
        <v>59</v>
      </c>
      <c r="C308" s="66">
        <v>45942</v>
      </c>
      <c r="D308" s="67">
        <v>0</v>
      </c>
      <c r="E308" s="77">
        <v>0</v>
      </c>
      <c r="F308" s="67">
        <v>0</v>
      </c>
      <c r="G308" s="77">
        <v>0</v>
      </c>
      <c r="H308" s="77">
        <v>0</v>
      </c>
      <c r="I308" s="67">
        <v>0</v>
      </c>
      <c r="J308" s="67">
        <v>0</v>
      </c>
      <c r="K308" s="67">
        <v>0</v>
      </c>
      <c r="L308" s="67">
        <v>0</v>
      </c>
      <c r="M308" s="67">
        <v>0</v>
      </c>
      <c r="N308" s="67">
        <v>0</v>
      </c>
      <c r="O308" s="67">
        <v>0</v>
      </c>
      <c r="P308" s="67">
        <v>0</v>
      </c>
      <c r="Q308" s="68">
        <v>0</v>
      </c>
    </row>
    <row r="309" spans="1:17" x14ac:dyDescent="0.25">
      <c r="A309" s="52"/>
      <c r="B309" s="53" t="s">
        <v>60</v>
      </c>
      <c r="C309" s="54">
        <v>45943</v>
      </c>
      <c r="D309" s="92">
        <v>8.25</v>
      </c>
      <c r="E309" s="77">
        <v>0</v>
      </c>
      <c r="F309" s="92">
        <v>8.25</v>
      </c>
      <c r="G309" s="92">
        <v>8.25</v>
      </c>
      <c r="H309" s="77">
        <v>0</v>
      </c>
      <c r="I309" s="92">
        <v>8.25</v>
      </c>
      <c r="J309" s="92">
        <v>8.25</v>
      </c>
      <c r="K309" s="92">
        <v>8.25</v>
      </c>
      <c r="L309" s="92">
        <v>8.25</v>
      </c>
      <c r="M309" s="92">
        <v>8.25</v>
      </c>
      <c r="N309" s="92">
        <v>8.25</v>
      </c>
      <c r="O309" s="92">
        <v>8.25</v>
      </c>
      <c r="P309" s="92">
        <v>8.25</v>
      </c>
      <c r="Q309" s="93">
        <v>8.25</v>
      </c>
    </row>
    <row r="310" spans="1:17" x14ac:dyDescent="0.25">
      <c r="A310" s="52"/>
      <c r="B310" s="53" t="s">
        <v>61</v>
      </c>
      <c r="C310" s="54">
        <v>45944</v>
      </c>
      <c r="D310" s="92">
        <v>8.25</v>
      </c>
      <c r="E310" s="77">
        <v>0</v>
      </c>
      <c r="F310" s="92">
        <v>8.25</v>
      </c>
      <c r="G310" s="92">
        <v>8.25</v>
      </c>
      <c r="H310" s="92">
        <v>8.25</v>
      </c>
      <c r="I310" s="92">
        <v>8.25</v>
      </c>
      <c r="J310" s="92">
        <v>8.25</v>
      </c>
      <c r="K310" s="92">
        <v>8.25</v>
      </c>
      <c r="L310" s="92">
        <v>8.25</v>
      </c>
      <c r="M310" s="92">
        <v>8.25</v>
      </c>
      <c r="N310" s="92">
        <v>8.25</v>
      </c>
      <c r="O310" s="92">
        <v>8.25</v>
      </c>
      <c r="P310" s="92">
        <v>8.25</v>
      </c>
      <c r="Q310" s="93">
        <v>8.25</v>
      </c>
    </row>
    <row r="311" spans="1:17" x14ac:dyDescent="0.25">
      <c r="A311" s="52"/>
      <c r="B311" s="53" t="s">
        <v>55</v>
      </c>
      <c r="C311" s="54">
        <v>45945</v>
      </c>
      <c r="D311" s="92">
        <v>8.25</v>
      </c>
      <c r="E311" s="77">
        <v>0</v>
      </c>
      <c r="F311" s="92">
        <v>8.25</v>
      </c>
      <c r="G311" s="92">
        <v>8.25</v>
      </c>
      <c r="H311" s="92">
        <v>8.25</v>
      </c>
      <c r="I311" s="92">
        <v>8.25</v>
      </c>
      <c r="J311" s="92">
        <v>8.25</v>
      </c>
      <c r="K311" s="92">
        <v>8.25</v>
      </c>
      <c r="L311" s="92">
        <v>8.25</v>
      </c>
      <c r="M311" s="92">
        <v>8.25</v>
      </c>
      <c r="N311" s="92">
        <v>8.25</v>
      </c>
      <c r="O311" s="92">
        <v>8.25</v>
      </c>
      <c r="P311" s="92">
        <v>8.25</v>
      </c>
      <c r="Q311" s="93">
        <v>8.25</v>
      </c>
    </row>
    <row r="312" spans="1:17" x14ac:dyDescent="0.25">
      <c r="A312" s="52"/>
      <c r="B312" s="53" t="s">
        <v>56</v>
      </c>
      <c r="C312" s="54">
        <v>45946</v>
      </c>
      <c r="D312" s="92">
        <v>8.25</v>
      </c>
      <c r="E312" s="77">
        <v>0</v>
      </c>
      <c r="F312" s="92">
        <v>8.25</v>
      </c>
      <c r="G312" s="92">
        <v>8.25</v>
      </c>
      <c r="H312" s="92">
        <v>8.25</v>
      </c>
      <c r="I312" s="92">
        <v>8.25</v>
      </c>
      <c r="J312" s="92">
        <v>8.25</v>
      </c>
      <c r="K312" s="92">
        <v>8.25</v>
      </c>
      <c r="L312" s="92">
        <v>8.25</v>
      </c>
      <c r="M312" s="92">
        <v>8.25</v>
      </c>
      <c r="N312" s="92">
        <v>8.25</v>
      </c>
      <c r="O312" s="92">
        <v>8.25</v>
      </c>
      <c r="P312" s="92">
        <v>8.25</v>
      </c>
      <c r="Q312" s="93">
        <v>8.25</v>
      </c>
    </row>
    <row r="313" spans="1:17" x14ac:dyDescent="0.25">
      <c r="A313" s="52"/>
      <c r="B313" s="53" t="s">
        <v>57</v>
      </c>
      <c r="C313" s="54">
        <v>45947</v>
      </c>
      <c r="D313" s="92">
        <v>7</v>
      </c>
      <c r="E313" s="92">
        <v>7</v>
      </c>
      <c r="F313" s="92">
        <v>7</v>
      </c>
      <c r="G313" s="92">
        <v>7</v>
      </c>
      <c r="H313" s="92">
        <v>7</v>
      </c>
      <c r="I313" s="92">
        <v>7</v>
      </c>
      <c r="J313" s="92">
        <v>7</v>
      </c>
      <c r="K313" s="92">
        <v>7</v>
      </c>
      <c r="L313" s="92">
        <v>7</v>
      </c>
      <c r="M313" s="92">
        <v>7</v>
      </c>
      <c r="N313" s="92">
        <v>7</v>
      </c>
      <c r="O313" s="92">
        <v>7</v>
      </c>
      <c r="P313" s="92">
        <v>7</v>
      </c>
      <c r="Q313" s="93">
        <v>7</v>
      </c>
    </row>
    <row r="314" spans="1:17" x14ac:dyDescent="0.25">
      <c r="A314" s="49"/>
      <c r="B314" s="65" t="s">
        <v>58</v>
      </c>
      <c r="C314" s="66">
        <v>45948</v>
      </c>
      <c r="D314" s="67">
        <v>0</v>
      </c>
      <c r="E314" s="67">
        <v>0</v>
      </c>
      <c r="F314" s="67">
        <v>0</v>
      </c>
      <c r="G314" s="67">
        <v>0</v>
      </c>
      <c r="H314" s="67">
        <v>0</v>
      </c>
      <c r="I314" s="67">
        <v>0</v>
      </c>
      <c r="J314" s="67">
        <v>0</v>
      </c>
      <c r="K314" s="67">
        <v>0</v>
      </c>
      <c r="L314" s="67">
        <v>0</v>
      </c>
      <c r="M314" s="67">
        <v>0</v>
      </c>
      <c r="N314" s="67">
        <v>0</v>
      </c>
      <c r="O314" s="67">
        <v>0</v>
      </c>
      <c r="P314" s="67">
        <v>0</v>
      </c>
      <c r="Q314" s="68">
        <v>0</v>
      </c>
    </row>
    <row r="315" spans="1:17" x14ac:dyDescent="0.25">
      <c r="A315" s="49"/>
      <c r="B315" s="65" t="s">
        <v>59</v>
      </c>
      <c r="C315" s="66">
        <v>45949</v>
      </c>
      <c r="D315" s="67">
        <v>0</v>
      </c>
      <c r="E315" s="67">
        <v>0</v>
      </c>
      <c r="F315" s="67">
        <v>0</v>
      </c>
      <c r="G315" s="67">
        <v>0</v>
      </c>
      <c r="H315" s="67">
        <v>0</v>
      </c>
      <c r="I315" s="67">
        <v>0</v>
      </c>
      <c r="J315" s="67">
        <v>0</v>
      </c>
      <c r="K315" s="67">
        <v>0</v>
      </c>
      <c r="L315" s="67">
        <v>0</v>
      </c>
      <c r="M315" s="67">
        <v>0</v>
      </c>
      <c r="N315" s="67">
        <v>0</v>
      </c>
      <c r="O315" s="67">
        <v>0</v>
      </c>
      <c r="P315" s="67">
        <v>0</v>
      </c>
      <c r="Q315" s="68">
        <v>0</v>
      </c>
    </row>
    <row r="316" spans="1:17" x14ac:dyDescent="0.25">
      <c r="A316" s="52"/>
      <c r="B316" s="53" t="s">
        <v>60</v>
      </c>
      <c r="C316" s="54">
        <v>45950</v>
      </c>
      <c r="D316" s="92">
        <v>8.25</v>
      </c>
      <c r="E316" s="92">
        <v>8.25</v>
      </c>
      <c r="F316" s="92">
        <v>8.25</v>
      </c>
      <c r="G316" s="92">
        <v>8.25</v>
      </c>
      <c r="H316" s="92">
        <v>8.25</v>
      </c>
      <c r="I316" s="92">
        <v>8.25</v>
      </c>
      <c r="J316" s="92">
        <v>8.25</v>
      </c>
      <c r="K316" s="92">
        <v>8.25</v>
      </c>
      <c r="L316" s="92">
        <v>8.25</v>
      </c>
      <c r="M316" s="92">
        <v>8.25</v>
      </c>
      <c r="N316" s="92">
        <v>8.25</v>
      </c>
      <c r="O316" s="92">
        <v>8.25</v>
      </c>
      <c r="P316" s="92">
        <v>8.25</v>
      </c>
      <c r="Q316" s="93">
        <v>8.25</v>
      </c>
    </row>
    <row r="317" spans="1:17" x14ac:dyDescent="0.25">
      <c r="A317" s="52"/>
      <c r="B317" s="53" t="s">
        <v>61</v>
      </c>
      <c r="C317" s="54">
        <v>45951</v>
      </c>
      <c r="D317" s="92">
        <v>8.25</v>
      </c>
      <c r="E317" s="92">
        <v>8.25</v>
      </c>
      <c r="F317" s="92">
        <v>8.25</v>
      </c>
      <c r="G317" s="92">
        <v>8.25</v>
      </c>
      <c r="H317" s="92">
        <v>8.25</v>
      </c>
      <c r="I317" s="92">
        <v>8.25</v>
      </c>
      <c r="J317" s="92">
        <v>8.25</v>
      </c>
      <c r="K317" s="92">
        <v>8.25</v>
      </c>
      <c r="L317" s="92">
        <v>8.25</v>
      </c>
      <c r="M317" s="92">
        <v>8.25</v>
      </c>
      <c r="N317" s="92">
        <v>8.25</v>
      </c>
      <c r="O317" s="92">
        <v>8.25</v>
      </c>
      <c r="P317" s="92">
        <v>8.25</v>
      </c>
      <c r="Q317" s="93">
        <v>8.25</v>
      </c>
    </row>
    <row r="318" spans="1:17" x14ac:dyDescent="0.25">
      <c r="A318" s="52"/>
      <c r="B318" s="53" t="s">
        <v>55</v>
      </c>
      <c r="C318" s="54">
        <v>45952</v>
      </c>
      <c r="D318" s="92">
        <v>8.25</v>
      </c>
      <c r="E318" s="92">
        <v>8.25</v>
      </c>
      <c r="F318" s="92">
        <v>8.25</v>
      </c>
      <c r="G318" s="92">
        <v>8.25</v>
      </c>
      <c r="H318" s="92">
        <v>8.25</v>
      </c>
      <c r="I318" s="92">
        <v>8.25</v>
      </c>
      <c r="J318" s="92">
        <v>8.25</v>
      </c>
      <c r="K318" s="92">
        <v>8.25</v>
      </c>
      <c r="L318" s="92">
        <v>8.25</v>
      </c>
      <c r="M318" s="92">
        <v>8.25</v>
      </c>
      <c r="N318" s="92">
        <v>8.25</v>
      </c>
      <c r="O318" s="92">
        <v>8.25</v>
      </c>
      <c r="P318" s="92">
        <v>8.25</v>
      </c>
      <c r="Q318" s="93">
        <v>8.25</v>
      </c>
    </row>
    <row r="319" spans="1:17" x14ac:dyDescent="0.25">
      <c r="A319" s="52"/>
      <c r="B319" s="53" t="s">
        <v>56</v>
      </c>
      <c r="C319" s="54">
        <v>45953</v>
      </c>
      <c r="D319" s="92">
        <v>8.25</v>
      </c>
      <c r="E319" s="92">
        <v>8.25</v>
      </c>
      <c r="F319" s="92">
        <v>8.25</v>
      </c>
      <c r="G319" s="92">
        <v>8.25</v>
      </c>
      <c r="H319" s="92">
        <v>8.25</v>
      </c>
      <c r="I319" s="92">
        <v>8.25</v>
      </c>
      <c r="J319" s="92">
        <v>8.25</v>
      </c>
      <c r="K319" s="92">
        <v>8.25</v>
      </c>
      <c r="L319" s="92">
        <v>8.25</v>
      </c>
      <c r="M319" s="92">
        <v>8.25</v>
      </c>
      <c r="N319" s="92">
        <v>8.25</v>
      </c>
      <c r="O319" s="92">
        <v>8.25</v>
      </c>
      <c r="P319" s="92">
        <v>8.25</v>
      </c>
      <c r="Q319" s="93">
        <v>8.25</v>
      </c>
    </row>
    <row r="320" spans="1:17" x14ac:dyDescent="0.25">
      <c r="A320" s="52"/>
      <c r="B320" s="53" t="s">
        <v>57</v>
      </c>
      <c r="C320" s="54">
        <v>45954</v>
      </c>
      <c r="D320" s="92">
        <v>7</v>
      </c>
      <c r="E320" s="92">
        <v>7</v>
      </c>
      <c r="F320" s="92">
        <v>7</v>
      </c>
      <c r="G320" s="92">
        <v>7</v>
      </c>
      <c r="H320" s="92">
        <v>7</v>
      </c>
      <c r="I320" s="92">
        <v>7</v>
      </c>
      <c r="J320" s="77">
        <v>0</v>
      </c>
      <c r="K320" s="92">
        <v>7</v>
      </c>
      <c r="L320" s="92">
        <v>7</v>
      </c>
      <c r="M320" s="92">
        <v>7</v>
      </c>
      <c r="N320" s="92">
        <v>7</v>
      </c>
      <c r="O320" s="92">
        <v>7</v>
      </c>
      <c r="P320" s="92">
        <v>7</v>
      </c>
      <c r="Q320" s="93">
        <v>7</v>
      </c>
    </row>
    <row r="321" spans="1:18" x14ac:dyDescent="0.25">
      <c r="A321" s="49"/>
      <c r="B321" s="65" t="s">
        <v>58</v>
      </c>
      <c r="C321" s="66">
        <v>45955</v>
      </c>
      <c r="D321" s="67">
        <v>0</v>
      </c>
      <c r="E321" s="67">
        <v>0</v>
      </c>
      <c r="F321" s="67">
        <v>0</v>
      </c>
      <c r="G321" s="67">
        <v>0</v>
      </c>
      <c r="H321" s="67">
        <v>0</v>
      </c>
      <c r="I321" s="67">
        <v>0</v>
      </c>
      <c r="J321" s="77">
        <v>0</v>
      </c>
      <c r="K321" s="67">
        <v>0</v>
      </c>
      <c r="L321" s="77">
        <v>0</v>
      </c>
      <c r="M321" s="67">
        <v>0</v>
      </c>
      <c r="N321" s="77">
        <v>0</v>
      </c>
      <c r="O321" s="67">
        <v>0</v>
      </c>
      <c r="P321" s="67">
        <v>0</v>
      </c>
      <c r="Q321" s="68">
        <v>0</v>
      </c>
    </row>
    <row r="322" spans="1:18" x14ac:dyDescent="0.25">
      <c r="A322" s="49"/>
      <c r="B322" s="65" t="s">
        <v>59</v>
      </c>
      <c r="C322" s="66">
        <v>45956</v>
      </c>
      <c r="D322" s="67">
        <v>0</v>
      </c>
      <c r="E322" s="67">
        <v>0</v>
      </c>
      <c r="F322" s="67">
        <v>0</v>
      </c>
      <c r="G322" s="67">
        <v>0</v>
      </c>
      <c r="H322" s="67">
        <v>0</v>
      </c>
      <c r="I322" s="67">
        <v>0</v>
      </c>
      <c r="J322" s="77">
        <v>0</v>
      </c>
      <c r="K322" s="67">
        <v>0</v>
      </c>
      <c r="L322" s="77">
        <v>0</v>
      </c>
      <c r="M322" s="67">
        <v>0</v>
      </c>
      <c r="N322" s="77">
        <v>0</v>
      </c>
      <c r="O322" s="67">
        <v>0</v>
      </c>
      <c r="P322" s="67">
        <v>0</v>
      </c>
      <c r="Q322" s="68">
        <v>0</v>
      </c>
    </row>
    <row r="323" spans="1:18" x14ac:dyDescent="0.25">
      <c r="A323" s="52"/>
      <c r="B323" s="53" t="s">
        <v>60</v>
      </c>
      <c r="C323" s="54">
        <v>45957</v>
      </c>
      <c r="D323" s="92">
        <v>8.25</v>
      </c>
      <c r="E323" s="92">
        <v>8.25</v>
      </c>
      <c r="F323" s="92">
        <v>8.25</v>
      </c>
      <c r="G323" s="92">
        <v>8.25</v>
      </c>
      <c r="H323" s="92">
        <v>8.25</v>
      </c>
      <c r="I323" s="92">
        <v>8.25</v>
      </c>
      <c r="J323" s="77">
        <v>0</v>
      </c>
      <c r="K323" s="92">
        <v>8.25</v>
      </c>
      <c r="L323" s="77">
        <v>0</v>
      </c>
      <c r="M323" s="92">
        <v>8.25</v>
      </c>
      <c r="N323" s="77">
        <v>0</v>
      </c>
      <c r="O323" s="92">
        <v>8.25</v>
      </c>
      <c r="P323" s="92">
        <v>8.25</v>
      </c>
      <c r="Q323" s="93">
        <v>8.25</v>
      </c>
    </row>
    <row r="324" spans="1:18" x14ac:dyDescent="0.25">
      <c r="A324" s="52"/>
      <c r="B324" s="53" t="s">
        <v>61</v>
      </c>
      <c r="C324" s="54">
        <v>45958</v>
      </c>
      <c r="D324" s="92">
        <v>8.25</v>
      </c>
      <c r="E324" s="92">
        <v>8.25</v>
      </c>
      <c r="F324" s="92">
        <v>8.25</v>
      </c>
      <c r="G324" s="92">
        <v>8.25</v>
      </c>
      <c r="H324" s="92">
        <v>8.25</v>
      </c>
      <c r="I324" s="92">
        <v>8.25</v>
      </c>
      <c r="J324" s="77">
        <v>0</v>
      </c>
      <c r="K324" s="92">
        <v>8.25</v>
      </c>
      <c r="L324" s="77">
        <v>0</v>
      </c>
      <c r="M324" s="92">
        <v>8.25</v>
      </c>
      <c r="N324" s="77">
        <v>0</v>
      </c>
      <c r="O324" s="92">
        <v>8.25</v>
      </c>
      <c r="P324" s="92">
        <v>8.25</v>
      </c>
      <c r="Q324" s="93">
        <v>8.25</v>
      </c>
    </row>
    <row r="325" spans="1:18" x14ac:dyDescent="0.25">
      <c r="A325" s="52"/>
      <c r="B325" s="53" t="s">
        <v>55</v>
      </c>
      <c r="C325" s="54">
        <v>45959</v>
      </c>
      <c r="D325" s="92">
        <v>8.25</v>
      </c>
      <c r="E325" s="92">
        <v>8.25</v>
      </c>
      <c r="F325" s="92">
        <v>8.25</v>
      </c>
      <c r="G325" s="92">
        <v>8.25</v>
      </c>
      <c r="H325" s="92">
        <v>8.25</v>
      </c>
      <c r="I325" s="92">
        <v>8.25</v>
      </c>
      <c r="J325" s="77">
        <v>0</v>
      </c>
      <c r="K325" s="92">
        <v>8.25</v>
      </c>
      <c r="L325" s="92">
        <v>8.25</v>
      </c>
      <c r="M325" s="92">
        <v>8.25</v>
      </c>
      <c r="N325" s="92">
        <v>8.25</v>
      </c>
      <c r="O325" s="92">
        <v>8.25</v>
      </c>
      <c r="P325" s="92">
        <v>8.25</v>
      </c>
      <c r="Q325" s="93">
        <v>8.25</v>
      </c>
    </row>
    <row r="326" spans="1:18" x14ac:dyDescent="0.25">
      <c r="A326" s="52"/>
      <c r="B326" s="53" t="s">
        <v>56</v>
      </c>
      <c r="C326" s="54">
        <v>45960</v>
      </c>
      <c r="D326" s="92">
        <v>8.25</v>
      </c>
      <c r="E326" s="92">
        <v>8.25</v>
      </c>
      <c r="F326" s="92">
        <v>8.25</v>
      </c>
      <c r="G326" s="92">
        <v>8.25</v>
      </c>
      <c r="H326" s="92">
        <v>8.25</v>
      </c>
      <c r="I326" s="92">
        <v>8.25</v>
      </c>
      <c r="J326" s="77">
        <v>0</v>
      </c>
      <c r="K326" s="92">
        <v>8.25</v>
      </c>
      <c r="L326" s="92">
        <v>8.25</v>
      </c>
      <c r="M326" s="92">
        <v>8.25</v>
      </c>
      <c r="N326" s="92">
        <v>8.25</v>
      </c>
      <c r="O326" s="92">
        <v>8.25</v>
      </c>
      <c r="P326" s="92">
        <v>8.25</v>
      </c>
      <c r="Q326" s="93">
        <v>8.25</v>
      </c>
    </row>
    <row r="327" spans="1:18" ht="15.75" thickBot="1" x14ac:dyDescent="0.3">
      <c r="A327" s="52"/>
      <c r="B327" s="55" t="s">
        <v>57</v>
      </c>
      <c r="C327" s="56">
        <v>45961</v>
      </c>
      <c r="D327" s="94">
        <v>7</v>
      </c>
      <c r="E327" s="94">
        <v>7</v>
      </c>
      <c r="F327" s="94">
        <v>7</v>
      </c>
      <c r="G327" s="94">
        <v>7</v>
      </c>
      <c r="H327" s="94">
        <v>7</v>
      </c>
      <c r="I327" s="94">
        <v>7</v>
      </c>
      <c r="J327" s="78">
        <v>0</v>
      </c>
      <c r="K327" s="94">
        <v>7</v>
      </c>
      <c r="L327" s="94">
        <v>7</v>
      </c>
      <c r="M327" s="78">
        <v>0</v>
      </c>
      <c r="N327" s="94">
        <v>7</v>
      </c>
      <c r="O327" s="94">
        <v>7</v>
      </c>
      <c r="P327" s="94">
        <v>7</v>
      </c>
      <c r="Q327" s="95">
        <v>7</v>
      </c>
    </row>
    <row r="328" spans="1:18" x14ac:dyDescent="0.25">
      <c r="A328" s="49"/>
      <c r="B328" s="69" t="s">
        <v>58</v>
      </c>
      <c r="C328" s="70">
        <v>45962</v>
      </c>
      <c r="D328" s="71">
        <v>7.25</v>
      </c>
      <c r="E328" s="71">
        <v>7.25</v>
      </c>
      <c r="F328" s="71">
        <v>7.25</v>
      </c>
      <c r="G328" s="71">
        <v>7.25</v>
      </c>
      <c r="H328" s="71">
        <v>7.25</v>
      </c>
      <c r="I328" s="71">
        <v>7.25</v>
      </c>
      <c r="J328" s="79">
        <v>0</v>
      </c>
      <c r="K328" s="71">
        <v>7.25</v>
      </c>
      <c r="L328" s="71">
        <v>7.25</v>
      </c>
      <c r="M328" s="79">
        <v>0</v>
      </c>
      <c r="N328" s="71">
        <v>7.25</v>
      </c>
      <c r="O328" s="71">
        <v>7.25</v>
      </c>
      <c r="P328" s="71">
        <v>7.25</v>
      </c>
      <c r="Q328" s="72">
        <v>7.25</v>
      </c>
      <c r="R328" s="39"/>
    </row>
    <row r="329" spans="1:18" x14ac:dyDescent="0.25">
      <c r="A329" s="49"/>
      <c r="B329" s="65" t="s">
        <v>59</v>
      </c>
      <c r="C329" s="66">
        <v>45963</v>
      </c>
      <c r="D329" s="67">
        <v>0</v>
      </c>
      <c r="E329" s="67">
        <v>0</v>
      </c>
      <c r="F329" s="67">
        <v>0</v>
      </c>
      <c r="G329" s="67">
        <v>0</v>
      </c>
      <c r="H329" s="67">
        <v>0</v>
      </c>
      <c r="I329" s="67">
        <v>0</v>
      </c>
      <c r="J329" s="77">
        <v>0</v>
      </c>
      <c r="K329" s="67">
        <v>0</v>
      </c>
      <c r="L329" s="67">
        <v>0</v>
      </c>
      <c r="M329" s="77">
        <v>0</v>
      </c>
      <c r="N329" s="67">
        <v>0</v>
      </c>
      <c r="O329" s="67">
        <v>0</v>
      </c>
      <c r="P329" s="67">
        <v>0</v>
      </c>
      <c r="Q329" s="80">
        <v>0</v>
      </c>
    </row>
    <row r="330" spans="1:18" x14ac:dyDescent="0.25">
      <c r="A330" s="49"/>
      <c r="B330" s="65" t="s">
        <v>60</v>
      </c>
      <c r="C330" s="66">
        <v>45964</v>
      </c>
      <c r="D330" s="67">
        <v>0</v>
      </c>
      <c r="E330" s="67">
        <v>0</v>
      </c>
      <c r="F330" s="67">
        <v>0</v>
      </c>
      <c r="G330" s="67">
        <v>0</v>
      </c>
      <c r="H330" s="67">
        <v>0</v>
      </c>
      <c r="I330" s="67">
        <v>0</v>
      </c>
      <c r="J330" s="77">
        <v>0</v>
      </c>
      <c r="K330" s="67">
        <v>0</v>
      </c>
      <c r="L330" s="67">
        <v>0</v>
      </c>
      <c r="M330" s="77">
        <v>0</v>
      </c>
      <c r="N330" s="67">
        <v>0</v>
      </c>
      <c r="O330" s="67">
        <v>0</v>
      </c>
      <c r="P330" s="67">
        <v>0</v>
      </c>
      <c r="Q330" s="80">
        <v>0</v>
      </c>
      <c r="R330" s="40"/>
    </row>
    <row r="331" spans="1:18" x14ac:dyDescent="0.25">
      <c r="A331" s="49"/>
      <c r="B331" s="65" t="s">
        <v>61</v>
      </c>
      <c r="C331" s="66">
        <v>45965</v>
      </c>
      <c r="D331" s="67">
        <v>0</v>
      </c>
      <c r="E331" s="67">
        <v>0</v>
      </c>
      <c r="F331" s="67">
        <v>0</v>
      </c>
      <c r="G331" s="67">
        <v>0</v>
      </c>
      <c r="H331" s="67">
        <v>0</v>
      </c>
      <c r="I331" s="67">
        <v>0</v>
      </c>
      <c r="J331" s="77">
        <v>0</v>
      </c>
      <c r="K331" s="67">
        <v>0</v>
      </c>
      <c r="L331" s="67">
        <v>0</v>
      </c>
      <c r="M331" s="77">
        <v>0</v>
      </c>
      <c r="N331" s="67">
        <v>0</v>
      </c>
      <c r="O331" s="67">
        <v>0</v>
      </c>
      <c r="P331" s="67">
        <v>0</v>
      </c>
      <c r="Q331" s="80">
        <v>0</v>
      </c>
      <c r="R331" s="40"/>
    </row>
    <row r="332" spans="1:18" x14ac:dyDescent="0.25">
      <c r="A332" s="52"/>
      <c r="B332" s="53" t="s">
        <v>55</v>
      </c>
      <c r="C332" s="54">
        <v>45966</v>
      </c>
      <c r="D332" s="92">
        <v>8.25</v>
      </c>
      <c r="E332" s="92">
        <v>8.25</v>
      </c>
      <c r="F332" s="92">
        <v>8.25</v>
      </c>
      <c r="G332" s="92">
        <v>8.25</v>
      </c>
      <c r="H332" s="92">
        <v>8.25</v>
      </c>
      <c r="I332" s="92">
        <v>8.25</v>
      </c>
      <c r="J332" s="77">
        <v>0</v>
      </c>
      <c r="K332" s="92">
        <v>8.25</v>
      </c>
      <c r="L332" s="92">
        <v>8.25</v>
      </c>
      <c r="M332" s="92">
        <v>8.25</v>
      </c>
      <c r="N332" s="92">
        <v>8.25</v>
      </c>
      <c r="O332" s="92">
        <v>8.25</v>
      </c>
      <c r="P332" s="92">
        <v>8.25</v>
      </c>
      <c r="Q332" s="80">
        <v>0</v>
      </c>
    </row>
    <row r="333" spans="1:18" x14ac:dyDescent="0.25">
      <c r="A333" s="52"/>
      <c r="B333" s="53" t="s">
        <v>56</v>
      </c>
      <c r="C333" s="54">
        <v>45967</v>
      </c>
      <c r="D333" s="92">
        <v>8.25</v>
      </c>
      <c r="E333" s="92">
        <v>8.25</v>
      </c>
      <c r="F333" s="92">
        <v>8.25</v>
      </c>
      <c r="G333" s="92">
        <v>8.25</v>
      </c>
      <c r="H333" s="92">
        <v>8.25</v>
      </c>
      <c r="I333" s="92">
        <v>8.25</v>
      </c>
      <c r="J333" s="77">
        <v>0</v>
      </c>
      <c r="K333" s="92">
        <v>8.25</v>
      </c>
      <c r="L333" s="92">
        <v>8.25</v>
      </c>
      <c r="M333" s="92">
        <v>8.25</v>
      </c>
      <c r="N333" s="92">
        <v>8.25</v>
      </c>
      <c r="O333" s="92">
        <v>8.25</v>
      </c>
      <c r="P333" s="92">
        <v>8.25</v>
      </c>
      <c r="Q333" s="80">
        <v>0</v>
      </c>
    </row>
    <row r="334" spans="1:18" x14ac:dyDescent="0.25">
      <c r="A334" s="52"/>
      <c r="B334" s="53" t="s">
        <v>57</v>
      </c>
      <c r="C334" s="54">
        <v>45968</v>
      </c>
      <c r="D334" s="92">
        <v>7</v>
      </c>
      <c r="E334" s="92">
        <v>7</v>
      </c>
      <c r="F334" s="92">
        <v>7</v>
      </c>
      <c r="G334" s="92">
        <v>7</v>
      </c>
      <c r="H334" s="92">
        <v>7</v>
      </c>
      <c r="I334" s="92">
        <v>7</v>
      </c>
      <c r="J334" s="92">
        <v>7</v>
      </c>
      <c r="K334" s="92">
        <v>7</v>
      </c>
      <c r="L334" s="92">
        <v>7</v>
      </c>
      <c r="M334" s="92">
        <v>7</v>
      </c>
      <c r="N334" s="92">
        <v>7</v>
      </c>
      <c r="O334" s="92">
        <v>7</v>
      </c>
      <c r="P334" s="92">
        <v>7</v>
      </c>
      <c r="Q334" s="80">
        <v>0</v>
      </c>
    </row>
    <row r="335" spans="1:18" x14ac:dyDescent="0.25">
      <c r="A335" s="49"/>
      <c r="B335" s="65" t="s">
        <v>58</v>
      </c>
      <c r="C335" s="66">
        <v>45969</v>
      </c>
      <c r="D335" s="67">
        <v>0</v>
      </c>
      <c r="E335" s="67">
        <v>0</v>
      </c>
      <c r="F335" s="67">
        <v>0</v>
      </c>
      <c r="G335" s="67">
        <v>0</v>
      </c>
      <c r="H335" s="67">
        <v>0</v>
      </c>
      <c r="I335" s="67">
        <v>0</v>
      </c>
      <c r="J335" s="67">
        <v>0</v>
      </c>
      <c r="K335" s="67">
        <v>0</v>
      </c>
      <c r="L335" s="67">
        <v>0</v>
      </c>
      <c r="M335" s="67">
        <v>0</v>
      </c>
      <c r="N335" s="67">
        <v>0</v>
      </c>
      <c r="O335" s="67">
        <v>0</v>
      </c>
      <c r="P335" s="67">
        <v>0</v>
      </c>
      <c r="Q335" s="80">
        <v>0</v>
      </c>
    </row>
    <row r="336" spans="1:18" x14ac:dyDescent="0.25">
      <c r="A336" s="49"/>
      <c r="B336" s="65" t="s">
        <v>59</v>
      </c>
      <c r="C336" s="66">
        <v>45970</v>
      </c>
      <c r="D336" s="67">
        <v>0</v>
      </c>
      <c r="E336" s="67">
        <v>0</v>
      </c>
      <c r="F336" s="67">
        <v>0</v>
      </c>
      <c r="G336" s="67">
        <v>0</v>
      </c>
      <c r="H336" s="67">
        <v>0</v>
      </c>
      <c r="I336" s="67">
        <v>0</v>
      </c>
      <c r="J336" s="67">
        <v>0</v>
      </c>
      <c r="K336" s="67">
        <v>0</v>
      </c>
      <c r="L336" s="67">
        <v>0</v>
      </c>
      <c r="M336" s="67">
        <v>0</v>
      </c>
      <c r="N336" s="67">
        <v>0</v>
      </c>
      <c r="O336" s="67">
        <v>0</v>
      </c>
      <c r="P336" s="67">
        <v>0</v>
      </c>
      <c r="Q336" s="80">
        <v>0</v>
      </c>
    </row>
    <row r="337" spans="1:17" x14ac:dyDescent="0.25">
      <c r="A337" s="52"/>
      <c r="B337" s="53" t="s">
        <v>60</v>
      </c>
      <c r="C337" s="54">
        <v>45971</v>
      </c>
      <c r="D337" s="92">
        <v>8.25</v>
      </c>
      <c r="E337" s="92">
        <v>8.25</v>
      </c>
      <c r="F337" s="92">
        <v>8.25</v>
      </c>
      <c r="G337" s="92">
        <v>8.25</v>
      </c>
      <c r="H337" s="92">
        <v>8.25</v>
      </c>
      <c r="I337" s="92">
        <v>8.25</v>
      </c>
      <c r="J337" s="92">
        <v>8.25</v>
      </c>
      <c r="K337" s="92">
        <v>8.25</v>
      </c>
      <c r="L337" s="92">
        <v>8.25</v>
      </c>
      <c r="M337" s="92">
        <v>8.25</v>
      </c>
      <c r="N337" s="92">
        <v>8.25</v>
      </c>
      <c r="O337" s="92">
        <v>8.25</v>
      </c>
      <c r="P337" s="92">
        <v>8.25</v>
      </c>
      <c r="Q337" s="80">
        <v>0</v>
      </c>
    </row>
    <row r="338" spans="1:17" x14ac:dyDescent="0.25">
      <c r="A338" s="52"/>
      <c r="B338" s="53" t="s">
        <v>61</v>
      </c>
      <c r="C338" s="54">
        <v>45972</v>
      </c>
      <c r="D338" s="92">
        <v>8.25</v>
      </c>
      <c r="E338" s="92">
        <v>8.25</v>
      </c>
      <c r="F338" s="92">
        <v>8.25</v>
      </c>
      <c r="G338" s="92">
        <v>8.25</v>
      </c>
      <c r="H338" s="92">
        <v>8.25</v>
      </c>
      <c r="I338" s="92">
        <v>8.25</v>
      </c>
      <c r="J338" s="92">
        <v>8.25</v>
      </c>
      <c r="K338" s="92">
        <v>8.25</v>
      </c>
      <c r="L338" s="92">
        <v>8.25</v>
      </c>
      <c r="M338" s="92">
        <v>8.25</v>
      </c>
      <c r="N338" s="92">
        <v>8.25</v>
      </c>
      <c r="O338" s="92">
        <v>8.25</v>
      </c>
      <c r="P338" s="92">
        <v>8.25</v>
      </c>
      <c r="Q338" s="80">
        <v>0</v>
      </c>
    </row>
    <row r="339" spans="1:17" x14ac:dyDescent="0.25">
      <c r="A339" s="52"/>
      <c r="B339" s="53" t="s">
        <v>55</v>
      </c>
      <c r="C339" s="54">
        <v>45973</v>
      </c>
      <c r="D339" s="92">
        <v>8.25</v>
      </c>
      <c r="E339" s="92">
        <v>8.25</v>
      </c>
      <c r="F339" s="92">
        <v>8.25</v>
      </c>
      <c r="G339" s="92">
        <v>8.25</v>
      </c>
      <c r="H339" s="92">
        <v>8.25</v>
      </c>
      <c r="I339" s="92">
        <v>8.25</v>
      </c>
      <c r="J339" s="92">
        <v>8.25</v>
      </c>
      <c r="K339" s="92">
        <v>8.25</v>
      </c>
      <c r="L339" s="92">
        <v>8.25</v>
      </c>
      <c r="M339" s="92">
        <v>8.25</v>
      </c>
      <c r="N339" s="92">
        <v>8.25</v>
      </c>
      <c r="O339" s="92">
        <v>8.25</v>
      </c>
      <c r="P339" s="92">
        <v>8.25</v>
      </c>
      <c r="Q339" s="80">
        <v>0</v>
      </c>
    </row>
    <row r="340" spans="1:17" x14ac:dyDescent="0.25">
      <c r="A340" s="52"/>
      <c r="B340" s="53" t="s">
        <v>56</v>
      </c>
      <c r="C340" s="54">
        <v>45974</v>
      </c>
      <c r="D340" s="92">
        <v>8.25</v>
      </c>
      <c r="E340" s="92">
        <v>8.25</v>
      </c>
      <c r="F340" s="92">
        <v>8.25</v>
      </c>
      <c r="G340" s="92">
        <v>8.25</v>
      </c>
      <c r="H340" s="92">
        <v>8.25</v>
      </c>
      <c r="I340" s="92">
        <v>8.25</v>
      </c>
      <c r="J340" s="92">
        <v>8.25</v>
      </c>
      <c r="K340" s="92">
        <v>8.25</v>
      </c>
      <c r="L340" s="92">
        <v>8.25</v>
      </c>
      <c r="M340" s="92">
        <v>8.25</v>
      </c>
      <c r="N340" s="92">
        <v>8.25</v>
      </c>
      <c r="O340" s="92">
        <v>8.25</v>
      </c>
      <c r="P340" s="92">
        <v>8.25</v>
      </c>
      <c r="Q340" s="80">
        <v>0</v>
      </c>
    </row>
    <row r="341" spans="1:17" x14ac:dyDescent="0.25">
      <c r="A341" s="52"/>
      <c r="B341" s="53" t="s">
        <v>57</v>
      </c>
      <c r="C341" s="54">
        <v>45975</v>
      </c>
      <c r="D341" s="92">
        <v>7</v>
      </c>
      <c r="E341" s="92">
        <v>7</v>
      </c>
      <c r="F341" s="92">
        <v>7</v>
      </c>
      <c r="G341" s="92">
        <v>7</v>
      </c>
      <c r="H341" s="92">
        <v>7</v>
      </c>
      <c r="I341" s="92">
        <v>7</v>
      </c>
      <c r="J341" s="92">
        <v>7</v>
      </c>
      <c r="K341" s="92">
        <v>7</v>
      </c>
      <c r="L341" s="92">
        <v>7</v>
      </c>
      <c r="M341" s="92">
        <v>7</v>
      </c>
      <c r="N341" s="92">
        <v>7</v>
      </c>
      <c r="O341" s="92">
        <v>7</v>
      </c>
      <c r="P341" s="92">
        <v>7</v>
      </c>
      <c r="Q341" s="80">
        <v>0</v>
      </c>
    </row>
    <row r="342" spans="1:17" x14ac:dyDescent="0.25">
      <c r="A342" s="49"/>
      <c r="B342" s="65" t="s">
        <v>58</v>
      </c>
      <c r="C342" s="66">
        <v>45976</v>
      </c>
      <c r="D342" s="67">
        <v>0</v>
      </c>
      <c r="E342" s="67">
        <v>0</v>
      </c>
      <c r="F342" s="77">
        <v>0</v>
      </c>
      <c r="G342" s="67">
        <v>0</v>
      </c>
      <c r="H342" s="67">
        <v>0</v>
      </c>
      <c r="I342" s="67">
        <v>0</v>
      </c>
      <c r="J342" s="67">
        <v>0</v>
      </c>
      <c r="K342" s="67">
        <v>0</v>
      </c>
      <c r="L342" s="67">
        <v>0</v>
      </c>
      <c r="M342" s="67">
        <v>0</v>
      </c>
      <c r="N342" s="67">
        <v>0</v>
      </c>
      <c r="O342" s="67">
        <v>0</v>
      </c>
      <c r="P342" s="67">
        <v>0</v>
      </c>
      <c r="Q342" s="80">
        <v>0</v>
      </c>
    </row>
    <row r="343" spans="1:17" x14ac:dyDescent="0.25">
      <c r="A343" s="49"/>
      <c r="B343" s="65" t="s">
        <v>59</v>
      </c>
      <c r="C343" s="66">
        <v>45977</v>
      </c>
      <c r="D343" s="67">
        <v>0</v>
      </c>
      <c r="E343" s="67">
        <v>0</v>
      </c>
      <c r="F343" s="77">
        <v>0</v>
      </c>
      <c r="G343" s="67">
        <v>0</v>
      </c>
      <c r="H343" s="67">
        <v>0</v>
      </c>
      <c r="I343" s="67">
        <v>0</v>
      </c>
      <c r="J343" s="67">
        <v>0</v>
      </c>
      <c r="K343" s="67">
        <v>0</v>
      </c>
      <c r="L343" s="67">
        <v>0</v>
      </c>
      <c r="M343" s="67">
        <v>0</v>
      </c>
      <c r="N343" s="67">
        <v>0</v>
      </c>
      <c r="O343" s="67">
        <v>0</v>
      </c>
      <c r="P343" s="67">
        <v>0</v>
      </c>
      <c r="Q343" s="68">
        <v>0</v>
      </c>
    </row>
    <row r="344" spans="1:17" x14ac:dyDescent="0.25">
      <c r="A344" s="52"/>
      <c r="B344" s="53" t="s">
        <v>60</v>
      </c>
      <c r="C344" s="54">
        <v>45978</v>
      </c>
      <c r="D344" s="92">
        <v>8.25</v>
      </c>
      <c r="E344" s="92">
        <v>8.25</v>
      </c>
      <c r="F344" s="77">
        <v>0</v>
      </c>
      <c r="G344" s="92">
        <v>8.25</v>
      </c>
      <c r="H344" s="92">
        <v>8.25</v>
      </c>
      <c r="I344" s="92">
        <v>8.25</v>
      </c>
      <c r="J344" s="92">
        <v>8.25</v>
      </c>
      <c r="K344" s="92">
        <v>8.25</v>
      </c>
      <c r="L344" s="92">
        <v>8.25</v>
      </c>
      <c r="M344" s="92">
        <v>8.25</v>
      </c>
      <c r="N344" s="92">
        <v>8.25</v>
      </c>
      <c r="O344" s="92">
        <v>8.25</v>
      </c>
      <c r="P344" s="92">
        <v>8.25</v>
      </c>
      <c r="Q344" s="93">
        <v>8.25</v>
      </c>
    </row>
    <row r="345" spans="1:17" x14ac:dyDescent="0.25">
      <c r="A345" s="52"/>
      <c r="B345" s="53" t="s">
        <v>61</v>
      </c>
      <c r="C345" s="54">
        <v>45979</v>
      </c>
      <c r="D345" s="92">
        <v>8.25</v>
      </c>
      <c r="E345" s="92">
        <v>8.25</v>
      </c>
      <c r="F345" s="77">
        <v>0</v>
      </c>
      <c r="G345" s="92">
        <v>8.25</v>
      </c>
      <c r="H345" s="92">
        <v>8.25</v>
      </c>
      <c r="I345" s="92">
        <v>8.25</v>
      </c>
      <c r="J345" s="92">
        <v>8.25</v>
      </c>
      <c r="K345" s="92">
        <v>8.25</v>
      </c>
      <c r="L345" s="92">
        <v>8.25</v>
      </c>
      <c r="M345" s="92">
        <v>8.25</v>
      </c>
      <c r="N345" s="92">
        <v>8.25</v>
      </c>
      <c r="O345" s="92">
        <v>8.25</v>
      </c>
      <c r="P345" s="92">
        <v>8.25</v>
      </c>
      <c r="Q345" s="93">
        <v>8.25</v>
      </c>
    </row>
    <row r="346" spans="1:17" x14ac:dyDescent="0.25">
      <c r="A346" s="52"/>
      <c r="B346" s="53" t="s">
        <v>55</v>
      </c>
      <c r="C346" s="54">
        <v>45980</v>
      </c>
      <c r="D346" s="92">
        <v>8.25</v>
      </c>
      <c r="E346" s="92">
        <v>8.25</v>
      </c>
      <c r="F346" s="77">
        <v>0</v>
      </c>
      <c r="G346" s="92">
        <v>8.25</v>
      </c>
      <c r="H346" s="92">
        <v>8.25</v>
      </c>
      <c r="I346" s="92">
        <v>8.25</v>
      </c>
      <c r="J346" s="92">
        <v>8.25</v>
      </c>
      <c r="K346" s="92">
        <v>8.25</v>
      </c>
      <c r="L346" s="92">
        <v>8.25</v>
      </c>
      <c r="M346" s="92">
        <v>8.25</v>
      </c>
      <c r="N346" s="92">
        <v>8.25</v>
      </c>
      <c r="O346" s="92">
        <v>8.25</v>
      </c>
      <c r="P346" s="92">
        <v>8.25</v>
      </c>
      <c r="Q346" s="93">
        <v>8.25</v>
      </c>
    </row>
    <row r="347" spans="1:17" x14ac:dyDescent="0.25">
      <c r="A347" s="52"/>
      <c r="B347" s="53" t="s">
        <v>56</v>
      </c>
      <c r="C347" s="54">
        <v>45981</v>
      </c>
      <c r="D347" s="92">
        <v>8.25</v>
      </c>
      <c r="E347" s="92">
        <v>8.25</v>
      </c>
      <c r="F347" s="92">
        <v>8.25</v>
      </c>
      <c r="G347" s="92">
        <v>8.25</v>
      </c>
      <c r="H347" s="92">
        <v>8.25</v>
      </c>
      <c r="I347" s="92">
        <v>8.25</v>
      </c>
      <c r="J347" s="92">
        <v>8.25</v>
      </c>
      <c r="K347" s="92">
        <v>8.25</v>
      </c>
      <c r="L347" s="92">
        <v>8.25</v>
      </c>
      <c r="M347" s="92">
        <v>8.25</v>
      </c>
      <c r="N347" s="92">
        <v>8.25</v>
      </c>
      <c r="O347" s="92">
        <v>8.25</v>
      </c>
      <c r="P347" s="92">
        <v>8.25</v>
      </c>
      <c r="Q347" s="93">
        <v>8.25</v>
      </c>
    </row>
    <row r="348" spans="1:17" x14ac:dyDescent="0.25">
      <c r="A348" s="52"/>
      <c r="B348" s="53" t="s">
        <v>57</v>
      </c>
      <c r="C348" s="54">
        <v>45982</v>
      </c>
      <c r="D348" s="92">
        <v>7</v>
      </c>
      <c r="E348" s="92">
        <v>7</v>
      </c>
      <c r="F348" s="92">
        <v>7</v>
      </c>
      <c r="G348" s="92">
        <v>7</v>
      </c>
      <c r="H348" s="92">
        <v>7</v>
      </c>
      <c r="I348" s="92">
        <v>7</v>
      </c>
      <c r="J348" s="92">
        <v>7</v>
      </c>
      <c r="K348" s="92">
        <v>7</v>
      </c>
      <c r="L348" s="92">
        <v>7</v>
      </c>
      <c r="M348" s="92">
        <v>7</v>
      </c>
      <c r="N348" s="92">
        <v>7</v>
      </c>
      <c r="O348" s="92">
        <v>7</v>
      </c>
      <c r="P348" s="92">
        <v>7</v>
      </c>
      <c r="Q348" s="93">
        <v>7</v>
      </c>
    </row>
    <row r="349" spans="1:17" x14ac:dyDescent="0.25">
      <c r="A349" s="49"/>
      <c r="B349" s="65" t="s">
        <v>58</v>
      </c>
      <c r="C349" s="66">
        <v>45983</v>
      </c>
      <c r="D349" s="67">
        <v>0</v>
      </c>
      <c r="E349" s="67">
        <v>0</v>
      </c>
      <c r="F349" s="67">
        <v>0</v>
      </c>
      <c r="G349" s="67">
        <v>0</v>
      </c>
      <c r="H349" s="67">
        <v>0</v>
      </c>
      <c r="I349" s="67">
        <v>0</v>
      </c>
      <c r="J349" s="67">
        <v>0</v>
      </c>
      <c r="K349" s="67">
        <v>0</v>
      </c>
      <c r="L349" s="67">
        <v>0</v>
      </c>
      <c r="M349" s="67">
        <v>0</v>
      </c>
      <c r="N349" s="67">
        <v>0</v>
      </c>
      <c r="O349" s="67">
        <v>0</v>
      </c>
      <c r="P349" s="67">
        <v>0</v>
      </c>
      <c r="Q349" s="68">
        <v>0</v>
      </c>
    </row>
    <row r="350" spans="1:17" x14ac:dyDescent="0.25">
      <c r="A350" s="49"/>
      <c r="B350" s="65" t="s">
        <v>59</v>
      </c>
      <c r="C350" s="66">
        <v>45984</v>
      </c>
      <c r="D350" s="77">
        <v>0</v>
      </c>
      <c r="E350" s="67">
        <v>0</v>
      </c>
      <c r="F350" s="67">
        <v>0</v>
      </c>
      <c r="G350" s="67">
        <v>0</v>
      </c>
      <c r="H350" s="67">
        <v>0</v>
      </c>
      <c r="I350" s="67">
        <v>0</v>
      </c>
      <c r="J350" s="67">
        <v>0</v>
      </c>
      <c r="K350" s="67">
        <v>0</v>
      </c>
      <c r="L350" s="67">
        <v>0</v>
      </c>
      <c r="M350" s="67">
        <v>0</v>
      </c>
      <c r="N350" s="67">
        <v>0</v>
      </c>
      <c r="O350" s="67">
        <v>0</v>
      </c>
      <c r="P350" s="67">
        <v>0</v>
      </c>
      <c r="Q350" s="68">
        <v>0</v>
      </c>
    </row>
    <row r="351" spans="1:17" x14ac:dyDescent="0.25">
      <c r="A351" s="52"/>
      <c r="B351" s="53" t="s">
        <v>60</v>
      </c>
      <c r="C351" s="54">
        <v>45985</v>
      </c>
      <c r="D351" s="77">
        <v>0</v>
      </c>
      <c r="E351" s="92">
        <v>8.25</v>
      </c>
      <c r="F351" s="92">
        <v>8.25</v>
      </c>
      <c r="G351" s="92">
        <v>8.25</v>
      </c>
      <c r="H351" s="92">
        <v>8.25</v>
      </c>
      <c r="I351" s="92">
        <v>8.25</v>
      </c>
      <c r="J351" s="92">
        <v>8.25</v>
      </c>
      <c r="K351" s="92">
        <v>8.25</v>
      </c>
      <c r="L351" s="92">
        <v>8.25</v>
      </c>
      <c r="M351" s="92">
        <v>8.25</v>
      </c>
      <c r="N351" s="92">
        <v>8.25</v>
      </c>
      <c r="O351" s="92">
        <v>8.25</v>
      </c>
      <c r="P351" s="92">
        <v>8.25</v>
      </c>
      <c r="Q351" s="93">
        <v>8.25</v>
      </c>
    </row>
    <row r="352" spans="1:17" x14ac:dyDescent="0.25">
      <c r="A352" s="52"/>
      <c r="B352" s="53" t="s">
        <v>61</v>
      </c>
      <c r="C352" s="54">
        <v>45986</v>
      </c>
      <c r="D352" s="77">
        <v>0</v>
      </c>
      <c r="E352" s="92">
        <v>8.25</v>
      </c>
      <c r="F352" s="92">
        <v>8.25</v>
      </c>
      <c r="G352" s="92">
        <v>8.25</v>
      </c>
      <c r="H352" s="92">
        <v>8.25</v>
      </c>
      <c r="I352" s="92">
        <v>8.25</v>
      </c>
      <c r="J352" s="92">
        <v>8.25</v>
      </c>
      <c r="K352" s="92">
        <v>8.25</v>
      </c>
      <c r="L352" s="92">
        <v>8.25</v>
      </c>
      <c r="M352" s="92">
        <v>8.25</v>
      </c>
      <c r="N352" s="92">
        <v>8.25</v>
      </c>
      <c r="O352" s="92">
        <v>8.25</v>
      </c>
      <c r="P352" s="92">
        <v>8.25</v>
      </c>
      <c r="Q352" s="93">
        <v>8.25</v>
      </c>
    </row>
    <row r="353" spans="1:17" x14ac:dyDescent="0.25">
      <c r="A353" s="52"/>
      <c r="B353" s="53" t="s">
        <v>55</v>
      </c>
      <c r="C353" s="54">
        <v>45987</v>
      </c>
      <c r="D353" s="77">
        <v>0</v>
      </c>
      <c r="E353" s="92">
        <v>8.25</v>
      </c>
      <c r="F353" s="92">
        <v>8.25</v>
      </c>
      <c r="G353" s="92">
        <v>8.25</v>
      </c>
      <c r="H353" s="92">
        <v>8.25</v>
      </c>
      <c r="I353" s="92">
        <v>8.25</v>
      </c>
      <c r="J353" s="92">
        <v>8.25</v>
      </c>
      <c r="K353" s="92">
        <v>8.25</v>
      </c>
      <c r="L353" s="92">
        <v>8.25</v>
      </c>
      <c r="M353" s="92">
        <v>8.25</v>
      </c>
      <c r="N353" s="92">
        <v>8.25</v>
      </c>
      <c r="O353" s="92">
        <v>8.25</v>
      </c>
      <c r="P353" s="92">
        <v>8.25</v>
      </c>
      <c r="Q353" s="93">
        <v>8.25</v>
      </c>
    </row>
    <row r="354" spans="1:17" x14ac:dyDescent="0.25">
      <c r="A354" s="52"/>
      <c r="B354" s="53" t="s">
        <v>56</v>
      </c>
      <c r="C354" s="54">
        <v>45988</v>
      </c>
      <c r="D354" s="92">
        <v>8.25</v>
      </c>
      <c r="E354" s="92">
        <v>8.25</v>
      </c>
      <c r="F354" s="92">
        <v>8.25</v>
      </c>
      <c r="G354" s="92">
        <v>8.25</v>
      </c>
      <c r="H354" s="92">
        <v>8.25</v>
      </c>
      <c r="I354" s="92">
        <v>8.25</v>
      </c>
      <c r="J354" s="92">
        <v>8.25</v>
      </c>
      <c r="K354" s="92">
        <v>8.25</v>
      </c>
      <c r="L354" s="92">
        <v>8.25</v>
      </c>
      <c r="M354" s="92">
        <v>8.25</v>
      </c>
      <c r="N354" s="92">
        <v>8.25</v>
      </c>
      <c r="O354" s="92">
        <v>8.25</v>
      </c>
      <c r="P354" s="92">
        <v>8.25</v>
      </c>
      <c r="Q354" s="93">
        <v>8.25</v>
      </c>
    </row>
    <row r="355" spans="1:17" x14ac:dyDescent="0.25">
      <c r="A355" s="52"/>
      <c r="B355" s="53" t="s">
        <v>57</v>
      </c>
      <c r="C355" s="54">
        <v>45989</v>
      </c>
      <c r="D355" s="92">
        <v>7</v>
      </c>
      <c r="E355" s="92">
        <v>7</v>
      </c>
      <c r="F355" s="92">
        <v>7</v>
      </c>
      <c r="G355" s="92">
        <v>7</v>
      </c>
      <c r="H355" s="92">
        <v>7</v>
      </c>
      <c r="I355" s="92">
        <v>7</v>
      </c>
      <c r="J355" s="92">
        <v>7</v>
      </c>
      <c r="K355" s="92">
        <v>7</v>
      </c>
      <c r="L355" s="92">
        <v>7</v>
      </c>
      <c r="M355" s="92">
        <v>7</v>
      </c>
      <c r="N355" s="92">
        <v>7</v>
      </c>
      <c r="O355" s="92">
        <v>7</v>
      </c>
      <c r="P355" s="92">
        <v>7</v>
      </c>
      <c r="Q355" s="93">
        <v>7</v>
      </c>
    </row>
    <row r="356" spans="1:17" x14ac:dyDescent="0.25">
      <c r="A356" s="49"/>
      <c r="B356" s="65" t="s">
        <v>58</v>
      </c>
      <c r="C356" s="66">
        <v>45990</v>
      </c>
      <c r="D356" s="67">
        <v>0</v>
      </c>
      <c r="E356" s="67">
        <v>0</v>
      </c>
      <c r="F356" s="67">
        <v>0</v>
      </c>
      <c r="G356" s="67">
        <v>0</v>
      </c>
      <c r="H356" s="67">
        <v>0</v>
      </c>
      <c r="I356" s="67">
        <v>0</v>
      </c>
      <c r="J356" s="67">
        <v>0</v>
      </c>
      <c r="K356" s="67">
        <v>0</v>
      </c>
      <c r="L356" s="67">
        <v>0</v>
      </c>
      <c r="M356" s="67">
        <v>0</v>
      </c>
      <c r="N356" s="67">
        <v>0</v>
      </c>
      <c r="O356" s="67">
        <v>0</v>
      </c>
      <c r="P356" s="67">
        <v>0</v>
      </c>
      <c r="Q356" s="68">
        <v>0</v>
      </c>
    </row>
    <row r="357" spans="1:17" ht="15.75" thickBot="1" x14ac:dyDescent="0.3">
      <c r="A357" s="49"/>
      <c r="B357" s="73" t="s">
        <v>59</v>
      </c>
      <c r="C357" s="74">
        <v>45991</v>
      </c>
      <c r="D357" s="75">
        <v>0</v>
      </c>
      <c r="E357" s="75">
        <v>0</v>
      </c>
      <c r="F357" s="75">
        <v>0</v>
      </c>
      <c r="G357" s="75">
        <v>0</v>
      </c>
      <c r="H357" s="75">
        <v>0</v>
      </c>
      <c r="I357" s="75">
        <v>0</v>
      </c>
      <c r="J357" s="75">
        <v>0</v>
      </c>
      <c r="K357" s="75">
        <v>0</v>
      </c>
      <c r="L357" s="75">
        <v>0</v>
      </c>
      <c r="M357" s="75">
        <v>0</v>
      </c>
      <c r="N357" s="75">
        <v>0</v>
      </c>
      <c r="O357" s="75">
        <v>0</v>
      </c>
      <c r="P357" s="75">
        <v>0</v>
      </c>
      <c r="Q357" s="76">
        <v>0</v>
      </c>
    </row>
    <row r="358" spans="1:17" x14ac:dyDescent="0.25">
      <c r="A358" s="52"/>
      <c r="B358" s="57" t="s">
        <v>60</v>
      </c>
      <c r="C358" s="58">
        <v>45992</v>
      </c>
      <c r="D358" s="90">
        <v>8.25</v>
      </c>
      <c r="E358" s="90">
        <v>8.25</v>
      </c>
      <c r="F358" s="90">
        <v>8.25</v>
      </c>
      <c r="G358" s="90">
        <v>8.25</v>
      </c>
      <c r="H358" s="90">
        <v>8.25</v>
      </c>
      <c r="I358" s="90">
        <v>8.25</v>
      </c>
      <c r="J358" s="90">
        <v>8.25</v>
      </c>
      <c r="K358" s="90">
        <v>8.25</v>
      </c>
      <c r="L358" s="90">
        <v>8.25</v>
      </c>
      <c r="M358" s="90">
        <v>8.25</v>
      </c>
      <c r="N358" s="90">
        <v>8.25</v>
      </c>
      <c r="O358" s="90">
        <v>8.25</v>
      </c>
      <c r="P358" s="90">
        <v>8.25</v>
      </c>
      <c r="Q358" s="91">
        <v>8.25</v>
      </c>
    </row>
    <row r="359" spans="1:17" x14ac:dyDescent="0.25">
      <c r="A359" s="52"/>
      <c r="B359" s="53" t="s">
        <v>61</v>
      </c>
      <c r="C359" s="54">
        <v>45993</v>
      </c>
      <c r="D359" s="92">
        <v>8.25</v>
      </c>
      <c r="E359" s="92">
        <v>8.25</v>
      </c>
      <c r="F359" s="92">
        <v>8.25</v>
      </c>
      <c r="G359" s="92">
        <v>8.25</v>
      </c>
      <c r="H359" s="92">
        <v>8.25</v>
      </c>
      <c r="I359" s="92">
        <v>8.25</v>
      </c>
      <c r="J359" s="92">
        <v>8.25</v>
      </c>
      <c r="K359" s="92">
        <v>8.25</v>
      </c>
      <c r="L359" s="92">
        <v>8.25</v>
      </c>
      <c r="M359" s="92">
        <v>8.25</v>
      </c>
      <c r="N359" s="92">
        <v>8.25</v>
      </c>
      <c r="O359" s="92">
        <v>8.25</v>
      </c>
      <c r="P359" s="92">
        <v>8.25</v>
      </c>
      <c r="Q359" s="93">
        <v>8.25</v>
      </c>
    </row>
    <row r="360" spans="1:17" x14ac:dyDescent="0.25">
      <c r="A360" s="52"/>
      <c r="B360" s="53" t="s">
        <v>55</v>
      </c>
      <c r="C360" s="54">
        <v>45994</v>
      </c>
      <c r="D360" s="92">
        <v>8.25</v>
      </c>
      <c r="E360" s="92">
        <v>8.25</v>
      </c>
      <c r="F360" s="92">
        <v>8.25</v>
      </c>
      <c r="G360" s="92">
        <v>8.25</v>
      </c>
      <c r="H360" s="92">
        <v>8.25</v>
      </c>
      <c r="I360" s="77">
        <v>0</v>
      </c>
      <c r="J360" s="92">
        <v>8.25</v>
      </c>
      <c r="K360" s="92">
        <v>8.25</v>
      </c>
      <c r="L360" s="92">
        <v>8.25</v>
      </c>
      <c r="M360" s="92">
        <v>8.25</v>
      </c>
      <c r="N360" s="92">
        <v>8.25</v>
      </c>
      <c r="O360" s="92">
        <v>8.25</v>
      </c>
      <c r="P360" s="92">
        <v>8.25</v>
      </c>
      <c r="Q360" s="93">
        <v>8.25</v>
      </c>
    </row>
    <row r="361" spans="1:17" x14ac:dyDescent="0.25">
      <c r="A361" s="52"/>
      <c r="B361" s="53" t="s">
        <v>56</v>
      </c>
      <c r="C361" s="54">
        <v>45995</v>
      </c>
      <c r="D361" s="92">
        <v>8.25</v>
      </c>
      <c r="E361" s="92">
        <v>8.25</v>
      </c>
      <c r="F361" s="92">
        <v>8.25</v>
      </c>
      <c r="G361" s="92">
        <v>8.25</v>
      </c>
      <c r="H361" s="92">
        <v>8.25</v>
      </c>
      <c r="I361" s="77">
        <v>0</v>
      </c>
      <c r="J361" s="92">
        <v>8.25</v>
      </c>
      <c r="K361" s="92">
        <v>8.25</v>
      </c>
      <c r="L361" s="92">
        <v>8.25</v>
      </c>
      <c r="M361" s="92">
        <v>8.25</v>
      </c>
      <c r="N361" s="92">
        <v>8.25</v>
      </c>
      <c r="O361" s="92">
        <v>8.25</v>
      </c>
      <c r="P361" s="92">
        <v>8.25</v>
      </c>
      <c r="Q361" s="93">
        <v>8.25</v>
      </c>
    </row>
    <row r="362" spans="1:17" x14ac:dyDescent="0.25">
      <c r="A362" s="52"/>
      <c r="B362" s="53" t="s">
        <v>57</v>
      </c>
      <c r="C362" s="54">
        <v>45996</v>
      </c>
      <c r="D362" s="92">
        <v>7</v>
      </c>
      <c r="E362" s="92">
        <v>7</v>
      </c>
      <c r="F362" s="92">
        <v>7</v>
      </c>
      <c r="G362" s="92">
        <v>7</v>
      </c>
      <c r="H362" s="92">
        <v>7</v>
      </c>
      <c r="I362" s="77">
        <v>0</v>
      </c>
      <c r="J362" s="92">
        <v>7</v>
      </c>
      <c r="K362" s="92">
        <v>7</v>
      </c>
      <c r="L362" s="92">
        <v>7</v>
      </c>
      <c r="M362" s="92">
        <v>7</v>
      </c>
      <c r="N362" s="92">
        <v>7</v>
      </c>
      <c r="O362" s="92">
        <v>7</v>
      </c>
      <c r="P362" s="92">
        <v>7</v>
      </c>
      <c r="Q362" s="93">
        <v>7</v>
      </c>
    </row>
    <row r="363" spans="1:17" x14ac:dyDescent="0.25">
      <c r="A363" s="49"/>
      <c r="B363" s="65" t="s">
        <v>58</v>
      </c>
      <c r="C363" s="66">
        <v>45997</v>
      </c>
      <c r="D363" s="67">
        <v>0</v>
      </c>
      <c r="E363" s="67">
        <v>0</v>
      </c>
      <c r="F363" s="67">
        <v>0</v>
      </c>
      <c r="G363" s="67">
        <v>0</v>
      </c>
      <c r="H363" s="67">
        <v>0</v>
      </c>
      <c r="I363" s="77">
        <v>0</v>
      </c>
      <c r="J363" s="67">
        <v>0</v>
      </c>
      <c r="K363" s="67">
        <v>0</v>
      </c>
      <c r="L363" s="67">
        <v>0</v>
      </c>
      <c r="M363" s="67">
        <v>0</v>
      </c>
      <c r="N363" s="67">
        <v>0</v>
      </c>
      <c r="O363" s="67">
        <v>0</v>
      </c>
      <c r="P363" s="67">
        <v>0</v>
      </c>
      <c r="Q363" s="68">
        <v>0</v>
      </c>
    </row>
    <row r="364" spans="1:17" x14ac:dyDescent="0.25">
      <c r="A364" s="49"/>
      <c r="B364" s="65" t="s">
        <v>59</v>
      </c>
      <c r="C364" s="66">
        <v>45998</v>
      </c>
      <c r="D364" s="67">
        <v>0</v>
      </c>
      <c r="E364" s="67">
        <v>0</v>
      </c>
      <c r="F364" s="67">
        <v>0</v>
      </c>
      <c r="G364" s="67">
        <v>0</v>
      </c>
      <c r="H364" s="67">
        <v>0</v>
      </c>
      <c r="I364" s="67">
        <v>0</v>
      </c>
      <c r="J364" s="67">
        <v>0</v>
      </c>
      <c r="K364" s="67">
        <v>0</v>
      </c>
      <c r="L364" s="67">
        <v>0</v>
      </c>
      <c r="M364" s="67">
        <v>0</v>
      </c>
      <c r="N364" s="67">
        <v>0</v>
      </c>
      <c r="O364" s="67">
        <v>0</v>
      </c>
      <c r="P364" s="67">
        <v>0</v>
      </c>
      <c r="Q364" s="68">
        <v>0</v>
      </c>
    </row>
    <row r="365" spans="1:17" x14ac:dyDescent="0.25">
      <c r="A365" s="52"/>
      <c r="B365" s="53" t="s">
        <v>60</v>
      </c>
      <c r="C365" s="54">
        <v>45999</v>
      </c>
      <c r="D365" s="92">
        <v>8.25</v>
      </c>
      <c r="E365" s="92">
        <v>8.25</v>
      </c>
      <c r="F365" s="92">
        <v>8.25</v>
      </c>
      <c r="G365" s="92">
        <v>8.25</v>
      </c>
      <c r="H365" s="92">
        <v>8.25</v>
      </c>
      <c r="I365" s="92">
        <v>8.25</v>
      </c>
      <c r="J365" s="92">
        <v>8.25</v>
      </c>
      <c r="K365" s="92">
        <v>8.25</v>
      </c>
      <c r="L365" s="92">
        <v>8.25</v>
      </c>
      <c r="M365" s="92">
        <v>8.25</v>
      </c>
      <c r="N365" s="92">
        <v>8.25</v>
      </c>
      <c r="O365" s="92">
        <v>8.25</v>
      </c>
      <c r="P365" s="92">
        <v>8.25</v>
      </c>
      <c r="Q365" s="93">
        <v>8.25</v>
      </c>
    </row>
    <row r="366" spans="1:17" x14ac:dyDescent="0.25">
      <c r="A366" s="52"/>
      <c r="B366" s="53" t="s">
        <v>61</v>
      </c>
      <c r="C366" s="54">
        <v>46000</v>
      </c>
      <c r="D366" s="92">
        <v>8.25</v>
      </c>
      <c r="E366" s="92">
        <v>8.25</v>
      </c>
      <c r="F366" s="92">
        <v>8.25</v>
      </c>
      <c r="G366" s="92">
        <v>8.25</v>
      </c>
      <c r="H366" s="92">
        <v>8.25</v>
      </c>
      <c r="I366" s="92">
        <v>8.25</v>
      </c>
      <c r="J366" s="92">
        <v>8.25</v>
      </c>
      <c r="K366" s="92">
        <v>8.25</v>
      </c>
      <c r="L366" s="92">
        <v>8.25</v>
      </c>
      <c r="M366" s="92">
        <v>8.25</v>
      </c>
      <c r="N366" s="92">
        <v>8.25</v>
      </c>
      <c r="O366" s="92">
        <v>8.25</v>
      </c>
      <c r="P366" s="92">
        <v>8.25</v>
      </c>
      <c r="Q366" s="93">
        <v>8.25</v>
      </c>
    </row>
    <row r="367" spans="1:17" x14ac:dyDescent="0.25">
      <c r="A367" s="52"/>
      <c r="B367" s="53" t="s">
        <v>55</v>
      </c>
      <c r="C367" s="54">
        <v>46001</v>
      </c>
      <c r="D367" s="92">
        <v>8.25</v>
      </c>
      <c r="E367" s="92">
        <v>8.25</v>
      </c>
      <c r="F367" s="92">
        <v>8.25</v>
      </c>
      <c r="G367" s="92">
        <v>8.25</v>
      </c>
      <c r="H367" s="92">
        <v>8.25</v>
      </c>
      <c r="I367" s="92">
        <v>8.25</v>
      </c>
      <c r="J367" s="92">
        <v>8.25</v>
      </c>
      <c r="K367" s="92">
        <v>8.25</v>
      </c>
      <c r="L367" s="92">
        <v>8.25</v>
      </c>
      <c r="M367" s="92">
        <v>8.25</v>
      </c>
      <c r="N367" s="92">
        <v>8.25</v>
      </c>
      <c r="O367" s="92">
        <v>8.25</v>
      </c>
      <c r="P367" s="92">
        <v>8.25</v>
      </c>
      <c r="Q367" s="93">
        <v>8.25</v>
      </c>
    </row>
    <row r="368" spans="1:17" x14ac:dyDescent="0.25">
      <c r="A368" s="49"/>
      <c r="B368" s="50" t="s">
        <v>56</v>
      </c>
      <c r="C368" s="51">
        <v>46002</v>
      </c>
      <c r="D368" s="92">
        <v>8.25</v>
      </c>
      <c r="E368" s="92">
        <v>8.25</v>
      </c>
      <c r="F368" s="92">
        <v>8.25</v>
      </c>
      <c r="G368" s="92">
        <v>8.25</v>
      </c>
      <c r="H368" s="92">
        <v>8.25</v>
      </c>
      <c r="I368" s="92">
        <v>8.25</v>
      </c>
      <c r="J368" s="92">
        <v>8.25</v>
      </c>
      <c r="K368" s="92">
        <v>8.25</v>
      </c>
      <c r="L368" s="92">
        <v>8.25</v>
      </c>
      <c r="M368" s="92">
        <v>8.25</v>
      </c>
      <c r="N368" s="92">
        <v>8.25</v>
      </c>
      <c r="O368" s="92">
        <v>8.25</v>
      </c>
      <c r="P368" s="92">
        <v>8.25</v>
      </c>
      <c r="Q368" s="93">
        <v>8.25</v>
      </c>
    </row>
    <row r="369" spans="1:17" x14ac:dyDescent="0.25">
      <c r="A369" s="52"/>
      <c r="B369" s="53" t="s">
        <v>57</v>
      </c>
      <c r="C369" s="54">
        <v>46003</v>
      </c>
      <c r="D369" s="92">
        <v>7</v>
      </c>
      <c r="E369" s="92">
        <v>7</v>
      </c>
      <c r="F369" s="92">
        <v>7</v>
      </c>
      <c r="G369" s="92">
        <v>7</v>
      </c>
      <c r="H369" s="92">
        <v>7</v>
      </c>
      <c r="I369" s="92">
        <v>7</v>
      </c>
      <c r="J369" s="92">
        <v>7</v>
      </c>
      <c r="K369" s="92">
        <v>7</v>
      </c>
      <c r="L369" s="92">
        <v>7</v>
      </c>
      <c r="M369" s="92">
        <v>7</v>
      </c>
      <c r="N369" s="92">
        <v>7</v>
      </c>
      <c r="O369" s="92">
        <v>7</v>
      </c>
      <c r="P369" s="92">
        <v>7</v>
      </c>
      <c r="Q369" s="93">
        <v>7</v>
      </c>
    </row>
    <row r="370" spans="1:17" x14ac:dyDescent="0.25">
      <c r="A370" s="49"/>
      <c r="B370" s="65" t="s">
        <v>58</v>
      </c>
      <c r="C370" s="66">
        <v>46004</v>
      </c>
      <c r="D370" s="67">
        <v>0</v>
      </c>
      <c r="E370" s="67">
        <v>0</v>
      </c>
      <c r="F370" s="67">
        <v>0</v>
      </c>
      <c r="G370" s="67">
        <v>0</v>
      </c>
      <c r="H370" s="67">
        <v>0</v>
      </c>
      <c r="I370" s="67">
        <v>0</v>
      </c>
      <c r="J370" s="67">
        <v>0</v>
      </c>
      <c r="K370" s="67">
        <v>0</v>
      </c>
      <c r="L370" s="67">
        <v>0</v>
      </c>
      <c r="M370" s="67">
        <v>0</v>
      </c>
      <c r="N370" s="67">
        <v>0</v>
      </c>
      <c r="O370" s="67">
        <v>0</v>
      </c>
      <c r="P370" s="67">
        <v>0</v>
      </c>
      <c r="Q370" s="68">
        <v>0</v>
      </c>
    </row>
    <row r="371" spans="1:17" x14ac:dyDescent="0.25">
      <c r="A371" s="49"/>
      <c r="B371" s="65" t="s">
        <v>59</v>
      </c>
      <c r="C371" s="66">
        <v>46005</v>
      </c>
      <c r="D371" s="67">
        <v>0</v>
      </c>
      <c r="E371" s="67">
        <v>0</v>
      </c>
      <c r="F371" s="67">
        <v>0</v>
      </c>
      <c r="G371" s="67">
        <v>0</v>
      </c>
      <c r="H371" s="67">
        <v>0</v>
      </c>
      <c r="I371" s="67">
        <v>0</v>
      </c>
      <c r="J371" s="67">
        <v>0</v>
      </c>
      <c r="K371" s="67">
        <v>0</v>
      </c>
      <c r="L371" s="67">
        <v>0</v>
      </c>
      <c r="M371" s="67">
        <v>0</v>
      </c>
      <c r="N371" s="67">
        <v>0</v>
      </c>
      <c r="O371" s="77">
        <v>0</v>
      </c>
      <c r="P371" s="67">
        <v>0</v>
      </c>
      <c r="Q371" s="68">
        <v>0</v>
      </c>
    </row>
    <row r="372" spans="1:17" x14ac:dyDescent="0.25">
      <c r="A372" s="52"/>
      <c r="B372" s="53" t="s">
        <v>60</v>
      </c>
      <c r="C372" s="54">
        <v>46006</v>
      </c>
      <c r="D372" s="92">
        <v>8.25</v>
      </c>
      <c r="E372" s="92">
        <v>8.25</v>
      </c>
      <c r="F372" s="92">
        <v>8.25</v>
      </c>
      <c r="G372" s="92">
        <v>8.25</v>
      </c>
      <c r="H372" s="92">
        <v>8.25</v>
      </c>
      <c r="I372" s="92">
        <v>8.25</v>
      </c>
      <c r="J372" s="92">
        <v>8.25</v>
      </c>
      <c r="K372" s="92">
        <v>8.25</v>
      </c>
      <c r="L372" s="92">
        <v>8.25</v>
      </c>
      <c r="M372" s="92">
        <v>8.25</v>
      </c>
      <c r="N372" s="92">
        <v>8.25</v>
      </c>
      <c r="O372" s="77">
        <v>0</v>
      </c>
      <c r="P372" s="92">
        <v>8.25</v>
      </c>
      <c r="Q372" s="93">
        <v>8.25</v>
      </c>
    </row>
    <row r="373" spans="1:17" x14ac:dyDescent="0.25">
      <c r="A373" s="52"/>
      <c r="B373" s="53" t="s">
        <v>61</v>
      </c>
      <c r="C373" s="54">
        <v>46007</v>
      </c>
      <c r="D373" s="92">
        <v>8.25</v>
      </c>
      <c r="E373" s="92">
        <v>8.25</v>
      </c>
      <c r="F373" s="92">
        <v>8.25</v>
      </c>
      <c r="G373" s="92">
        <v>8.25</v>
      </c>
      <c r="H373" s="92">
        <v>8.25</v>
      </c>
      <c r="I373" s="92">
        <v>8.25</v>
      </c>
      <c r="J373" s="92">
        <v>8.25</v>
      </c>
      <c r="K373" s="92">
        <v>8.25</v>
      </c>
      <c r="L373" s="92">
        <v>8.25</v>
      </c>
      <c r="M373" s="92">
        <v>8.25</v>
      </c>
      <c r="N373" s="92">
        <v>8.25</v>
      </c>
      <c r="O373" s="77">
        <v>0</v>
      </c>
      <c r="P373" s="92">
        <v>8.25</v>
      </c>
      <c r="Q373" s="93">
        <v>8.25</v>
      </c>
    </row>
    <row r="374" spans="1:17" x14ac:dyDescent="0.25">
      <c r="A374" s="52"/>
      <c r="B374" s="53" t="s">
        <v>55</v>
      </c>
      <c r="C374" s="54">
        <v>46008</v>
      </c>
      <c r="D374" s="92">
        <v>8.25</v>
      </c>
      <c r="E374" s="92">
        <v>8.25</v>
      </c>
      <c r="F374" s="92">
        <v>8.25</v>
      </c>
      <c r="G374" s="92">
        <v>8.25</v>
      </c>
      <c r="H374" s="92">
        <v>8.25</v>
      </c>
      <c r="I374" s="92">
        <v>8.25</v>
      </c>
      <c r="J374" s="92">
        <v>8.25</v>
      </c>
      <c r="K374" s="92">
        <v>8.25</v>
      </c>
      <c r="L374" s="92">
        <v>8.25</v>
      </c>
      <c r="M374" s="92">
        <v>8.25</v>
      </c>
      <c r="N374" s="92">
        <v>8.25</v>
      </c>
      <c r="O374" s="77">
        <v>0</v>
      </c>
      <c r="P374" s="77">
        <v>0</v>
      </c>
      <c r="Q374" s="93">
        <v>8.25</v>
      </c>
    </row>
    <row r="375" spans="1:17" x14ac:dyDescent="0.25">
      <c r="A375" s="52"/>
      <c r="B375" s="53" t="s">
        <v>56</v>
      </c>
      <c r="C375" s="54">
        <v>46009</v>
      </c>
      <c r="D375" s="92">
        <v>8.25</v>
      </c>
      <c r="E375" s="92">
        <v>8.25</v>
      </c>
      <c r="F375" s="92">
        <v>8.25</v>
      </c>
      <c r="G375" s="92">
        <v>8.25</v>
      </c>
      <c r="H375" s="92">
        <v>8.25</v>
      </c>
      <c r="I375" s="92">
        <v>8.25</v>
      </c>
      <c r="J375" s="92">
        <v>8.25</v>
      </c>
      <c r="K375" s="92">
        <v>8.25</v>
      </c>
      <c r="L375" s="92">
        <v>8.25</v>
      </c>
      <c r="M375" s="92">
        <v>8.25</v>
      </c>
      <c r="N375" s="92">
        <v>8.25</v>
      </c>
      <c r="O375" s="77">
        <v>0</v>
      </c>
      <c r="P375" s="77">
        <v>0</v>
      </c>
      <c r="Q375" s="93">
        <v>8.25</v>
      </c>
    </row>
    <row r="376" spans="1:17" x14ac:dyDescent="0.25">
      <c r="A376" s="52"/>
      <c r="B376" s="53" t="s">
        <v>57</v>
      </c>
      <c r="C376" s="54">
        <v>46010</v>
      </c>
      <c r="D376" s="92">
        <v>7</v>
      </c>
      <c r="E376" s="92">
        <v>7</v>
      </c>
      <c r="F376" s="92">
        <v>7</v>
      </c>
      <c r="G376" s="92">
        <v>7</v>
      </c>
      <c r="H376" s="92">
        <v>7</v>
      </c>
      <c r="I376" s="92">
        <v>7</v>
      </c>
      <c r="J376" s="92">
        <v>7</v>
      </c>
      <c r="K376" s="92">
        <v>7</v>
      </c>
      <c r="L376" s="92">
        <v>7</v>
      </c>
      <c r="M376" s="92">
        <v>7</v>
      </c>
      <c r="N376" s="92">
        <v>7</v>
      </c>
      <c r="O376" s="92">
        <v>7</v>
      </c>
      <c r="P376" s="77">
        <v>0</v>
      </c>
      <c r="Q376" s="93">
        <v>7</v>
      </c>
    </row>
    <row r="377" spans="1:17" x14ac:dyDescent="0.25">
      <c r="A377" s="49"/>
      <c r="B377" s="65" t="s">
        <v>58</v>
      </c>
      <c r="C377" s="66">
        <v>46011</v>
      </c>
      <c r="D377" s="67">
        <v>0</v>
      </c>
      <c r="E377" s="67">
        <v>0</v>
      </c>
      <c r="F377" s="67">
        <v>0</v>
      </c>
      <c r="G377" s="67">
        <v>0</v>
      </c>
      <c r="H377" s="67">
        <v>0</v>
      </c>
      <c r="I377" s="67">
        <v>0</v>
      </c>
      <c r="J377" s="67">
        <v>0</v>
      </c>
      <c r="K377" s="67">
        <v>0</v>
      </c>
      <c r="L377" s="67">
        <v>0</v>
      </c>
      <c r="M377" s="67">
        <v>0</v>
      </c>
      <c r="N377" s="67">
        <v>0</v>
      </c>
      <c r="O377" s="67">
        <v>0</v>
      </c>
      <c r="P377" s="77">
        <v>0</v>
      </c>
      <c r="Q377" s="68">
        <v>0</v>
      </c>
    </row>
    <row r="378" spans="1:17" x14ac:dyDescent="0.25">
      <c r="A378" s="49"/>
      <c r="B378" s="65" t="s">
        <v>59</v>
      </c>
      <c r="C378" s="66">
        <v>46012</v>
      </c>
      <c r="D378" s="67">
        <v>0</v>
      </c>
      <c r="E378" s="67">
        <v>0</v>
      </c>
      <c r="F378" s="67">
        <v>0</v>
      </c>
      <c r="G378" s="67">
        <v>0</v>
      </c>
      <c r="H378" s="67">
        <v>0</v>
      </c>
      <c r="I378" s="67">
        <v>0</v>
      </c>
      <c r="J378" s="67">
        <v>0</v>
      </c>
      <c r="K378" s="67">
        <v>0</v>
      </c>
      <c r="L378" s="67">
        <v>0</v>
      </c>
      <c r="M378" s="67">
        <v>0</v>
      </c>
      <c r="N378" s="67">
        <v>0</v>
      </c>
      <c r="O378" s="67">
        <v>0</v>
      </c>
      <c r="P378" s="77">
        <v>0</v>
      </c>
      <c r="Q378" s="68">
        <v>0</v>
      </c>
    </row>
    <row r="379" spans="1:17" x14ac:dyDescent="0.25">
      <c r="A379" s="52"/>
      <c r="B379" s="53" t="s">
        <v>60</v>
      </c>
      <c r="C379" s="54">
        <v>46013</v>
      </c>
      <c r="D379" s="92">
        <v>8.25</v>
      </c>
      <c r="E379" s="92">
        <v>8.25</v>
      </c>
      <c r="F379" s="92">
        <v>8.25</v>
      </c>
      <c r="G379" s="92">
        <v>8.25</v>
      </c>
      <c r="H379" s="92">
        <v>8.25</v>
      </c>
      <c r="I379" s="92">
        <v>8.25</v>
      </c>
      <c r="J379" s="92">
        <v>8.25</v>
      </c>
      <c r="K379" s="92">
        <v>8.25</v>
      </c>
      <c r="L379" s="92">
        <v>8.25</v>
      </c>
      <c r="M379" s="92">
        <v>8.25</v>
      </c>
      <c r="N379" s="92">
        <v>8.25</v>
      </c>
      <c r="O379" s="92">
        <v>8.25</v>
      </c>
      <c r="P379" s="92">
        <v>8.25</v>
      </c>
      <c r="Q379" s="93">
        <v>8.25</v>
      </c>
    </row>
    <row r="380" spans="1:17" x14ac:dyDescent="0.25">
      <c r="A380" s="52"/>
      <c r="B380" s="53" t="s">
        <v>61</v>
      </c>
      <c r="C380" s="54">
        <v>46014</v>
      </c>
      <c r="D380" s="92">
        <v>8.25</v>
      </c>
      <c r="E380" s="92">
        <v>8.25</v>
      </c>
      <c r="F380" s="92">
        <v>8.25</v>
      </c>
      <c r="G380" s="92">
        <v>8.25</v>
      </c>
      <c r="H380" s="92">
        <v>8.25</v>
      </c>
      <c r="I380" s="92">
        <v>8.25</v>
      </c>
      <c r="J380" s="92">
        <v>8.25</v>
      </c>
      <c r="K380" s="92">
        <v>8.25</v>
      </c>
      <c r="L380" s="92">
        <v>8.25</v>
      </c>
      <c r="M380" s="92">
        <v>8.25</v>
      </c>
      <c r="N380" s="92">
        <v>8.25</v>
      </c>
      <c r="O380" s="92">
        <v>8.25</v>
      </c>
      <c r="P380" s="92">
        <v>8.25</v>
      </c>
      <c r="Q380" s="93">
        <v>8.25</v>
      </c>
    </row>
    <row r="381" spans="1:17" x14ac:dyDescent="0.25">
      <c r="A381" s="52"/>
      <c r="B381" s="53" t="s">
        <v>55</v>
      </c>
      <c r="C381" s="54">
        <v>46015</v>
      </c>
      <c r="D381" s="92">
        <v>8.25</v>
      </c>
      <c r="E381" s="92">
        <v>8.25</v>
      </c>
      <c r="F381" s="92">
        <v>8.25</v>
      </c>
      <c r="G381" s="92">
        <v>8.25</v>
      </c>
      <c r="H381" s="92">
        <v>8.25</v>
      </c>
      <c r="I381" s="92">
        <v>8.25</v>
      </c>
      <c r="J381" s="92">
        <v>8.25</v>
      </c>
      <c r="K381" s="92">
        <v>8.25</v>
      </c>
      <c r="L381" s="92">
        <v>8.25</v>
      </c>
      <c r="M381" s="92">
        <v>8.25</v>
      </c>
      <c r="N381" s="92">
        <v>8.25</v>
      </c>
      <c r="O381" s="92">
        <v>8.25</v>
      </c>
      <c r="P381" s="92">
        <v>8.25</v>
      </c>
      <c r="Q381" s="93">
        <v>8.25</v>
      </c>
    </row>
    <row r="382" spans="1:17" x14ac:dyDescent="0.25">
      <c r="A382" s="52"/>
      <c r="B382" s="53" t="s">
        <v>56</v>
      </c>
      <c r="C382" s="54">
        <v>46016</v>
      </c>
      <c r="D382" s="92">
        <v>8.25</v>
      </c>
      <c r="E382" s="92">
        <v>8.25</v>
      </c>
      <c r="F382" s="92">
        <v>8.25</v>
      </c>
      <c r="G382" s="92">
        <v>8.25</v>
      </c>
      <c r="H382" s="92">
        <v>8.25</v>
      </c>
      <c r="I382" s="92">
        <v>8.25</v>
      </c>
      <c r="J382" s="92">
        <v>8.25</v>
      </c>
      <c r="K382" s="92">
        <v>8.25</v>
      </c>
      <c r="L382" s="92">
        <v>8.25</v>
      </c>
      <c r="M382" s="92">
        <v>8.25</v>
      </c>
      <c r="N382" s="92">
        <v>8.25</v>
      </c>
      <c r="O382" s="92">
        <v>8.25</v>
      </c>
      <c r="P382" s="92">
        <v>8.25</v>
      </c>
      <c r="Q382" s="93">
        <v>8.25</v>
      </c>
    </row>
    <row r="383" spans="1:17" x14ac:dyDescent="0.25">
      <c r="A383" s="52"/>
      <c r="B383" s="53" t="s">
        <v>57</v>
      </c>
      <c r="C383" s="54">
        <v>46017</v>
      </c>
      <c r="D383" s="92">
        <v>7</v>
      </c>
      <c r="E383" s="92">
        <v>7</v>
      </c>
      <c r="F383" s="92">
        <v>7</v>
      </c>
      <c r="G383" s="92">
        <v>7</v>
      </c>
      <c r="H383" s="92">
        <v>7</v>
      </c>
      <c r="I383" s="92">
        <v>7</v>
      </c>
      <c r="J383" s="92">
        <v>7</v>
      </c>
      <c r="K383" s="92">
        <v>7</v>
      </c>
      <c r="L383" s="92">
        <v>7</v>
      </c>
      <c r="M383" s="92">
        <v>7</v>
      </c>
      <c r="N383" s="92">
        <v>7</v>
      </c>
      <c r="O383" s="92">
        <v>7</v>
      </c>
      <c r="P383" s="92">
        <v>7</v>
      </c>
      <c r="Q383" s="93">
        <v>7</v>
      </c>
    </row>
    <row r="384" spans="1:17" x14ac:dyDescent="0.25">
      <c r="A384" s="49"/>
      <c r="B384" s="65" t="s">
        <v>58</v>
      </c>
      <c r="C384" s="66">
        <v>46018</v>
      </c>
      <c r="D384" s="67">
        <v>0</v>
      </c>
      <c r="E384" s="67">
        <v>0</v>
      </c>
      <c r="F384" s="67">
        <v>0</v>
      </c>
      <c r="G384" s="67">
        <v>0</v>
      </c>
      <c r="H384" s="67">
        <v>0</v>
      </c>
      <c r="I384" s="67">
        <v>0</v>
      </c>
      <c r="J384" s="67">
        <v>0</v>
      </c>
      <c r="K384" s="67">
        <v>0</v>
      </c>
      <c r="L384" s="67">
        <v>0</v>
      </c>
      <c r="M384" s="67">
        <v>0</v>
      </c>
      <c r="N384" s="67">
        <v>0</v>
      </c>
      <c r="O384" s="67">
        <v>0</v>
      </c>
      <c r="P384" s="67">
        <v>0</v>
      </c>
      <c r="Q384" s="68">
        <v>0</v>
      </c>
    </row>
    <row r="385" spans="1:18" x14ac:dyDescent="0.25">
      <c r="A385" s="49"/>
      <c r="B385" s="65" t="s">
        <v>59</v>
      </c>
      <c r="C385" s="66">
        <v>46019</v>
      </c>
      <c r="D385" s="67">
        <v>0</v>
      </c>
      <c r="E385" s="67">
        <v>0</v>
      </c>
      <c r="F385" s="67">
        <v>0</v>
      </c>
      <c r="G385" s="67">
        <v>0</v>
      </c>
      <c r="H385" s="67">
        <v>0</v>
      </c>
      <c r="I385" s="67">
        <v>0</v>
      </c>
      <c r="J385" s="67">
        <v>0</v>
      </c>
      <c r="K385" s="67">
        <v>0</v>
      </c>
      <c r="L385" s="67">
        <v>0</v>
      </c>
      <c r="M385" s="67">
        <v>0</v>
      </c>
      <c r="N385" s="67">
        <v>0</v>
      </c>
      <c r="O385" s="67">
        <v>0</v>
      </c>
      <c r="P385" s="67">
        <v>0</v>
      </c>
      <c r="Q385" s="68">
        <v>0</v>
      </c>
    </row>
    <row r="386" spans="1:18" x14ac:dyDescent="0.25">
      <c r="A386" s="52"/>
      <c r="B386" s="53" t="s">
        <v>60</v>
      </c>
      <c r="C386" s="54">
        <v>46020</v>
      </c>
      <c r="D386" s="92">
        <v>8.25</v>
      </c>
      <c r="E386" s="92">
        <v>8.25</v>
      </c>
      <c r="F386" s="92">
        <v>8.25</v>
      </c>
      <c r="G386" s="92">
        <v>8.25</v>
      </c>
      <c r="H386" s="92">
        <v>8.25</v>
      </c>
      <c r="I386" s="92">
        <v>8.25</v>
      </c>
      <c r="J386" s="92">
        <v>8.25</v>
      </c>
      <c r="K386" s="92">
        <v>8.25</v>
      </c>
      <c r="L386" s="92">
        <v>8.25</v>
      </c>
      <c r="M386" s="92">
        <v>8.25</v>
      </c>
      <c r="N386" s="92">
        <v>8.25</v>
      </c>
      <c r="O386" s="92">
        <v>8.25</v>
      </c>
      <c r="P386" s="92">
        <v>8.25</v>
      </c>
      <c r="Q386" s="93">
        <v>8.25</v>
      </c>
    </row>
    <row r="387" spans="1:18" x14ac:dyDescent="0.25">
      <c r="A387" s="52"/>
      <c r="B387" s="53" t="s">
        <v>61</v>
      </c>
      <c r="C387" s="54">
        <v>46021</v>
      </c>
      <c r="D387" s="92">
        <v>8.25</v>
      </c>
      <c r="E387" s="92">
        <v>8.25</v>
      </c>
      <c r="F387" s="92">
        <v>8.25</v>
      </c>
      <c r="G387" s="92">
        <v>8.25</v>
      </c>
      <c r="H387" s="92">
        <v>8.25</v>
      </c>
      <c r="I387" s="92">
        <v>8.25</v>
      </c>
      <c r="J387" s="92">
        <v>8.25</v>
      </c>
      <c r="K387" s="92">
        <v>8.25</v>
      </c>
      <c r="L387" s="92">
        <v>8.25</v>
      </c>
      <c r="M387" s="92">
        <v>8.25</v>
      </c>
      <c r="N387" s="92">
        <v>8.25</v>
      </c>
      <c r="O387" s="92">
        <v>8.25</v>
      </c>
      <c r="P387" s="92">
        <v>8.25</v>
      </c>
      <c r="Q387" s="93">
        <v>8.25</v>
      </c>
    </row>
    <row r="388" spans="1:18" ht="15.75" thickBot="1" x14ac:dyDescent="0.3">
      <c r="A388" s="49"/>
      <c r="B388" s="73" t="s">
        <v>55</v>
      </c>
      <c r="C388" s="74">
        <v>46022</v>
      </c>
      <c r="D388" s="75">
        <v>0</v>
      </c>
      <c r="E388" s="75">
        <v>0</v>
      </c>
      <c r="F388" s="75">
        <v>0</v>
      </c>
      <c r="G388" s="75">
        <v>0</v>
      </c>
      <c r="H388" s="75">
        <v>0</v>
      </c>
      <c r="I388" s="75">
        <v>0</v>
      </c>
      <c r="J388" s="75">
        <v>0</v>
      </c>
      <c r="K388" s="75">
        <v>0</v>
      </c>
      <c r="L388" s="75">
        <v>0</v>
      </c>
      <c r="M388" s="75">
        <v>0</v>
      </c>
      <c r="N388" s="75">
        <v>0</v>
      </c>
      <c r="O388" s="75">
        <v>0</v>
      </c>
      <c r="P388" s="75">
        <v>0</v>
      </c>
      <c r="Q388" s="76">
        <v>0</v>
      </c>
      <c r="R388" s="40"/>
    </row>
    <row r="390" spans="1:18" x14ac:dyDescent="0.25">
      <c r="A390" s="59"/>
      <c r="B390" s="82"/>
      <c r="C390" s="82"/>
      <c r="D390" s="59"/>
      <c r="E390" s="59"/>
      <c r="F390" s="59"/>
      <c r="G390" s="59"/>
      <c r="H390" s="59"/>
      <c r="I390" s="59"/>
      <c r="J390" s="59"/>
      <c r="K390" s="59"/>
      <c r="L390" s="59"/>
      <c r="M390" s="59"/>
      <c r="N390" s="59"/>
      <c r="O390" s="59"/>
      <c r="P390" s="59"/>
      <c r="Q390" s="59"/>
    </row>
    <row r="391" spans="1:18" x14ac:dyDescent="0.25">
      <c r="A391" s="59"/>
      <c r="B391" s="82"/>
      <c r="C391" s="82"/>
      <c r="D391" s="59"/>
      <c r="E391" s="59"/>
      <c r="F391" s="59"/>
      <c r="G391" s="59"/>
      <c r="H391" s="59"/>
      <c r="I391" s="59"/>
      <c r="J391" s="59"/>
      <c r="K391" s="59"/>
      <c r="L391" s="59"/>
      <c r="M391" s="59"/>
      <c r="N391" s="59"/>
      <c r="O391" s="59"/>
      <c r="P391" s="59"/>
      <c r="Q391" s="59"/>
    </row>
    <row r="392" spans="1:18" x14ac:dyDescent="0.25">
      <c r="B392" s="82"/>
      <c r="C392" s="82"/>
    </row>
    <row r="393" spans="1:18" x14ac:dyDescent="0.25">
      <c r="B393" s="82"/>
      <c r="C393" s="83"/>
    </row>
    <row r="394" spans="1:18" x14ac:dyDescent="0.25">
      <c r="B394" s="82"/>
      <c r="C394" s="82"/>
    </row>
    <row r="395" spans="1:18" x14ac:dyDescent="0.25">
      <c r="B395" s="82"/>
      <c r="C395" s="82"/>
    </row>
    <row r="396" spans="1:18" x14ac:dyDescent="0.25">
      <c r="B396" s="82"/>
      <c r="C396" s="82"/>
    </row>
    <row r="397" spans="1:18" x14ac:dyDescent="0.25">
      <c r="A397" s="59"/>
      <c r="B397" s="82"/>
      <c r="C397" s="82"/>
      <c r="D397" s="59"/>
      <c r="E397" s="59"/>
      <c r="F397" s="59"/>
      <c r="G397" s="59"/>
      <c r="H397" s="59"/>
      <c r="I397" s="59"/>
      <c r="J397" s="59"/>
      <c r="K397" s="59"/>
      <c r="L397" s="59"/>
      <c r="M397" s="59"/>
      <c r="N397" s="59"/>
      <c r="O397" s="59"/>
      <c r="P397" s="59"/>
      <c r="Q397" s="59"/>
    </row>
    <row r="398" spans="1:18" x14ac:dyDescent="0.25">
      <c r="A398" s="59"/>
      <c r="B398" s="82"/>
      <c r="C398" s="82"/>
      <c r="D398" s="59"/>
      <c r="E398" s="59"/>
      <c r="F398" s="59"/>
      <c r="G398" s="59"/>
      <c r="H398" s="59"/>
      <c r="I398" s="59"/>
      <c r="J398" s="59"/>
      <c r="K398" s="59"/>
      <c r="L398" s="59"/>
      <c r="M398" s="59"/>
      <c r="N398" s="59"/>
      <c r="O398" s="59"/>
      <c r="P398" s="59"/>
      <c r="Q398" s="59"/>
    </row>
    <row r="399" spans="1:18" x14ac:dyDescent="0.25">
      <c r="B399" s="82"/>
      <c r="C399" s="82"/>
    </row>
    <row r="400" spans="1:18" x14ac:dyDescent="0.25">
      <c r="B400" s="82"/>
      <c r="C400" s="82"/>
    </row>
    <row r="401" spans="1:17" x14ac:dyDescent="0.25">
      <c r="B401" s="82"/>
      <c r="C401" s="82"/>
    </row>
    <row r="402" spans="1:17" x14ac:dyDescent="0.25">
      <c r="B402" s="82"/>
      <c r="C402" s="82"/>
    </row>
    <row r="403" spans="1:17" x14ac:dyDescent="0.25">
      <c r="B403" s="82"/>
      <c r="C403" s="82"/>
    </row>
    <row r="404" spans="1:17" x14ac:dyDescent="0.25">
      <c r="A404" s="59"/>
      <c r="B404" s="82"/>
      <c r="C404" s="82"/>
      <c r="D404" s="59"/>
      <c r="E404" s="59"/>
      <c r="F404" s="59"/>
      <c r="G404" s="59"/>
      <c r="H404" s="59"/>
      <c r="I404" s="59"/>
      <c r="J404" s="59"/>
      <c r="K404" s="59"/>
      <c r="L404" s="59"/>
      <c r="M404" s="59"/>
      <c r="N404" s="59"/>
      <c r="O404" s="59"/>
      <c r="P404" s="59"/>
      <c r="Q404" s="59"/>
    </row>
    <row r="405" spans="1:17" x14ac:dyDescent="0.25">
      <c r="A405" s="59"/>
      <c r="B405" s="82"/>
      <c r="C405" s="82"/>
      <c r="D405" s="59"/>
      <c r="E405" s="59"/>
      <c r="F405" s="59"/>
      <c r="G405" s="59"/>
      <c r="H405" s="59"/>
      <c r="I405" s="59"/>
      <c r="J405" s="59"/>
      <c r="K405" s="59"/>
      <c r="L405" s="59"/>
      <c r="M405" s="59"/>
      <c r="N405" s="59"/>
      <c r="O405" s="59"/>
      <c r="P405" s="59"/>
      <c r="Q405" s="59"/>
    </row>
    <row r="406" spans="1:17" x14ac:dyDescent="0.25">
      <c r="B406" s="82"/>
      <c r="C406" s="82"/>
    </row>
    <row r="407" spans="1:17" x14ac:dyDescent="0.25">
      <c r="B407" s="82"/>
      <c r="C407" s="82"/>
    </row>
    <row r="408" spans="1:17" x14ac:dyDescent="0.25">
      <c r="B408" s="82"/>
      <c r="C408" s="82"/>
    </row>
    <row r="409" spans="1:17" x14ac:dyDescent="0.25">
      <c r="B409" s="82"/>
      <c r="C409" s="82"/>
    </row>
    <row r="410" spans="1:17" x14ac:dyDescent="0.25">
      <c r="B410" s="82"/>
      <c r="C410" s="82"/>
    </row>
    <row r="411" spans="1:17" x14ac:dyDescent="0.25">
      <c r="A411" s="59"/>
      <c r="B411" s="82"/>
      <c r="C411" s="82"/>
      <c r="D411" s="59"/>
      <c r="E411" s="59"/>
      <c r="F411" s="59"/>
      <c r="G411" s="59"/>
      <c r="H411" s="59"/>
      <c r="I411" s="59"/>
      <c r="J411" s="59"/>
      <c r="K411" s="59"/>
      <c r="L411" s="59"/>
      <c r="M411" s="59"/>
      <c r="N411" s="59"/>
      <c r="O411" s="59"/>
      <c r="P411" s="59"/>
      <c r="Q411" s="59"/>
    </row>
    <row r="412" spans="1:17" x14ac:dyDescent="0.25">
      <c r="A412" s="59"/>
      <c r="B412" s="82"/>
      <c r="C412" s="82"/>
      <c r="D412" s="59"/>
      <c r="E412" s="59"/>
      <c r="F412" s="59"/>
      <c r="G412" s="59"/>
      <c r="H412" s="59"/>
      <c r="I412" s="59"/>
      <c r="J412" s="59"/>
      <c r="K412" s="59"/>
      <c r="L412" s="59"/>
      <c r="M412" s="59"/>
      <c r="N412" s="59"/>
      <c r="O412" s="59"/>
      <c r="P412" s="59"/>
      <c r="Q412" s="59"/>
    </row>
    <row r="413" spans="1:17" x14ac:dyDescent="0.25">
      <c r="B413" s="82"/>
      <c r="C413" s="82"/>
    </row>
    <row r="414" spans="1:17" x14ac:dyDescent="0.25">
      <c r="B414" s="82"/>
      <c r="C414" s="82"/>
    </row>
    <row r="418" spans="1:17" x14ac:dyDescent="0.25">
      <c r="A418" s="59"/>
      <c r="B418" s="59"/>
      <c r="C418" s="59"/>
      <c r="D418" s="59"/>
      <c r="E418" s="59"/>
      <c r="F418" s="59"/>
      <c r="G418" s="59"/>
      <c r="H418" s="59"/>
      <c r="I418" s="59"/>
      <c r="J418" s="59"/>
      <c r="K418" s="59"/>
      <c r="L418" s="59"/>
      <c r="M418" s="59"/>
      <c r="N418" s="59"/>
      <c r="O418" s="59"/>
      <c r="P418" s="59"/>
      <c r="Q418" s="59"/>
    </row>
    <row r="419" spans="1:17" x14ac:dyDescent="0.25">
      <c r="A419" s="59"/>
      <c r="B419" s="59"/>
      <c r="C419" s="59"/>
      <c r="D419" s="59"/>
      <c r="E419" s="59"/>
      <c r="F419" s="59"/>
      <c r="G419" s="59"/>
      <c r="H419" s="59"/>
      <c r="I419" s="59"/>
      <c r="J419" s="59"/>
      <c r="K419" s="59"/>
      <c r="L419" s="59"/>
      <c r="M419" s="59"/>
      <c r="N419" s="59"/>
      <c r="O419" s="59"/>
      <c r="P419" s="59"/>
      <c r="Q419" s="59"/>
    </row>
    <row r="425" spans="1:17" x14ac:dyDescent="0.25">
      <c r="A425" s="59"/>
      <c r="B425" s="59"/>
      <c r="C425" s="59"/>
      <c r="D425" s="59"/>
      <c r="E425" s="59"/>
      <c r="F425" s="59"/>
      <c r="G425" s="59"/>
      <c r="H425" s="59"/>
      <c r="I425" s="59"/>
      <c r="J425" s="59"/>
      <c r="K425" s="59"/>
      <c r="L425" s="59"/>
      <c r="M425" s="59"/>
      <c r="N425" s="59"/>
      <c r="O425" s="59"/>
      <c r="P425" s="59"/>
      <c r="Q425" s="59"/>
    </row>
    <row r="426" spans="1:17" x14ac:dyDescent="0.25">
      <c r="A426" s="59"/>
      <c r="B426" s="59"/>
      <c r="C426" s="59"/>
      <c r="D426" s="59"/>
      <c r="E426" s="59"/>
      <c r="F426" s="59"/>
      <c r="G426" s="59"/>
      <c r="H426" s="59"/>
      <c r="I426" s="59"/>
      <c r="J426" s="59"/>
      <c r="K426" s="59"/>
      <c r="L426" s="59"/>
      <c r="M426" s="59"/>
      <c r="N426" s="59"/>
      <c r="O426" s="59"/>
      <c r="P426" s="59"/>
      <c r="Q426" s="59"/>
    </row>
    <row r="430" spans="1:17" x14ac:dyDescent="0.25">
      <c r="B430" s="82"/>
    </row>
    <row r="432" spans="1:17" x14ac:dyDescent="0.25">
      <c r="A432" s="59"/>
      <c r="B432" s="59"/>
      <c r="C432" s="59"/>
      <c r="D432" s="59"/>
      <c r="E432" s="59"/>
      <c r="F432" s="59"/>
      <c r="G432" s="59"/>
      <c r="H432" s="59"/>
      <c r="I432" s="59"/>
      <c r="J432" s="59"/>
      <c r="K432" s="59"/>
      <c r="L432" s="59"/>
      <c r="M432" s="59"/>
      <c r="N432" s="59"/>
      <c r="O432" s="59"/>
      <c r="P432" s="59"/>
      <c r="Q432" s="59"/>
    </row>
    <row r="433" spans="1:17" x14ac:dyDescent="0.25">
      <c r="A433" s="59"/>
      <c r="B433" s="59"/>
      <c r="C433" s="59"/>
      <c r="D433" s="59"/>
      <c r="E433" s="59"/>
      <c r="F433" s="59"/>
      <c r="G433" s="59"/>
      <c r="H433" s="59"/>
      <c r="I433" s="59"/>
      <c r="J433" s="59"/>
      <c r="K433" s="59"/>
      <c r="L433" s="59"/>
      <c r="M433" s="59"/>
      <c r="N433" s="59"/>
      <c r="O433" s="59"/>
      <c r="P433" s="59"/>
      <c r="Q433" s="59"/>
    </row>
    <row r="439" spans="1:17" x14ac:dyDescent="0.25">
      <c r="A439" s="59"/>
      <c r="B439" s="59"/>
      <c r="C439" s="59"/>
      <c r="D439" s="59"/>
      <c r="E439" s="59"/>
      <c r="F439" s="59"/>
      <c r="G439" s="59"/>
      <c r="H439" s="59"/>
      <c r="I439" s="59"/>
      <c r="J439" s="59"/>
      <c r="K439" s="59"/>
      <c r="L439" s="59"/>
      <c r="M439" s="59"/>
      <c r="N439" s="59"/>
      <c r="O439" s="59"/>
      <c r="P439" s="59"/>
      <c r="Q439" s="59"/>
    </row>
    <row r="440" spans="1:17" x14ac:dyDescent="0.25">
      <c r="A440" s="59"/>
      <c r="B440" s="59"/>
      <c r="C440" s="59"/>
      <c r="D440" s="59"/>
      <c r="E440" s="59"/>
      <c r="F440" s="59"/>
      <c r="G440" s="59"/>
      <c r="H440" s="59"/>
      <c r="I440" s="59"/>
      <c r="J440" s="59"/>
      <c r="K440" s="59"/>
      <c r="L440" s="59"/>
      <c r="M440" s="59"/>
      <c r="N440" s="59"/>
      <c r="O440" s="59"/>
      <c r="P440" s="59"/>
      <c r="Q440" s="59"/>
    </row>
    <row r="446" spans="1:17" x14ac:dyDescent="0.25">
      <c r="A446" s="59"/>
      <c r="B446" s="59"/>
      <c r="C446" s="59"/>
      <c r="D446" s="59"/>
      <c r="E446" s="59"/>
      <c r="F446" s="59"/>
      <c r="G446" s="59"/>
      <c r="H446" s="59"/>
      <c r="I446" s="59"/>
      <c r="J446" s="59"/>
      <c r="K446" s="59"/>
      <c r="L446" s="59"/>
      <c r="M446" s="59"/>
      <c r="N446" s="59"/>
      <c r="O446" s="59"/>
      <c r="P446" s="59"/>
      <c r="Q446" s="59"/>
    </row>
    <row r="447" spans="1:17" x14ac:dyDescent="0.25">
      <c r="A447" s="59"/>
      <c r="B447" s="59"/>
      <c r="C447" s="59"/>
      <c r="D447" s="59"/>
      <c r="E447" s="59"/>
      <c r="F447" s="59"/>
      <c r="G447" s="59"/>
      <c r="H447" s="59"/>
      <c r="I447" s="59"/>
      <c r="J447" s="59"/>
      <c r="K447" s="59"/>
      <c r="L447" s="59"/>
      <c r="M447" s="59"/>
      <c r="N447" s="59"/>
      <c r="O447" s="59"/>
      <c r="P447" s="59"/>
      <c r="Q447" s="59"/>
    </row>
    <row r="450" spans="1:17" x14ac:dyDescent="0.25">
      <c r="B450" s="82"/>
    </row>
    <row r="453" spans="1:17" x14ac:dyDescent="0.25">
      <c r="A453" s="59"/>
      <c r="B453" s="59"/>
      <c r="C453" s="59"/>
      <c r="D453" s="59"/>
      <c r="E453" s="59"/>
      <c r="F453" s="59"/>
      <c r="G453" s="59"/>
      <c r="H453" s="59"/>
      <c r="I453" s="59"/>
      <c r="J453" s="59"/>
      <c r="K453" s="59"/>
      <c r="L453" s="59"/>
      <c r="M453" s="59"/>
      <c r="N453" s="59"/>
      <c r="O453" s="59"/>
      <c r="P453" s="59"/>
      <c r="Q453" s="59"/>
    </row>
    <row r="454" spans="1:17" x14ac:dyDescent="0.25">
      <c r="A454" s="59"/>
      <c r="B454" s="59"/>
      <c r="C454" s="59"/>
      <c r="D454" s="59"/>
      <c r="E454" s="59"/>
      <c r="F454" s="59"/>
      <c r="G454" s="59"/>
      <c r="H454" s="59"/>
      <c r="I454" s="59"/>
      <c r="J454" s="59"/>
      <c r="K454" s="59"/>
      <c r="L454" s="59"/>
      <c r="M454" s="59"/>
      <c r="N454" s="59"/>
      <c r="O454" s="59"/>
      <c r="P454" s="59"/>
      <c r="Q454" s="59"/>
    </row>
    <row r="460" spans="1:17" x14ac:dyDescent="0.25">
      <c r="A460" s="59"/>
      <c r="B460" s="59"/>
      <c r="C460" s="59"/>
      <c r="D460" s="59"/>
      <c r="E460" s="59"/>
      <c r="F460" s="59"/>
      <c r="G460" s="59"/>
      <c r="H460" s="59"/>
      <c r="I460" s="59"/>
      <c r="J460" s="59"/>
      <c r="K460" s="59"/>
      <c r="L460" s="59"/>
      <c r="M460" s="59"/>
      <c r="N460" s="59"/>
      <c r="O460" s="59"/>
      <c r="P460" s="59"/>
      <c r="Q460" s="59"/>
    </row>
    <row r="461" spans="1:17" x14ac:dyDescent="0.25">
      <c r="A461" s="59"/>
      <c r="B461" s="59"/>
      <c r="C461" s="59"/>
      <c r="D461" s="59"/>
      <c r="E461" s="59"/>
      <c r="F461" s="59"/>
      <c r="G461" s="59"/>
      <c r="H461" s="59"/>
      <c r="I461" s="59"/>
      <c r="J461" s="59"/>
      <c r="K461" s="59"/>
      <c r="L461" s="59"/>
      <c r="M461" s="59"/>
      <c r="N461" s="59"/>
      <c r="O461" s="59"/>
      <c r="P461" s="59"/>
      <c r="Q461" s="59"/>
    </row>
    <row r="467" spans="1:17" x14ac:dyDescent="0.25">
      <c r="A467" s="59"/>
      <c r="B467" s="59"/>
      <c r="C467" s="59"/>
      <c r="D467" s="59"/>
      <c r="E467" s="59"/>
      <c r="F467" s="59"/>
      <c r="G467" s="59"/>
      <c r="H467" s="59"/>
      <c r="I467" s="59"/>
      <c r="J467" s="59"/>
      <c r="K467" s="59"/>
      <c r="L467" s="59"/>
      <c r="M467" s="59"/>
      <c r="N467" s="59"/>
      <c r="O467" s="59"/>
      <c r="P467" s="59"/>
      <c r="Q467" s="59"/>
    </row>
    <row r="468" spans="1:17" x14ac:dyDescent="0.25">
      <c r="A468" s="59"/>
      <c r="B468" s="59"/>
      <c r="C468" s="59"/>
      <c r="D468" s="59"/>
      <c r="E468" s="59"/>
      <c r="F468" s="59"/>
      <c r="G468" s="59"/>
      <c r="H468" s="59"/>
      <c r="I468" s="59"/>
      <c r="J468" s="59"/>
      <c r="K468" s="59"/>
      <c r="L468" s="59"/>
      <c r="M468" s="59"/>
      <c r="N468" s="59"/>
      <c r="O468" s="59"/>
      <c r="P468" s="59"/>
      <c r="Q468" s="59"/>
    </row>
    <row r="474" spans="1:17" x14ac:dyDescent="0.25">
      <c r="A474" s="59"/>
      <c r="B474" s="59"/>
      <c r="C474" s="59"/>
      <c r="D474" s="59"/>
      <c r="E474" s="59"/>
      <c r="F474" s="59"/>
      <c r="G474" s="59"/>
      <c r="H474" s="59"/>
      <c r="I474" s="59"/>
      <c r="J474" s="59"/>
      <c r="K474" s="59"/>
      <c r="L474" s="59"/>
      <c r="M474" s="59"/>
      <c r="N474" s="59"/>
      <c r="O474" s="59"/>
      <c r="P474" s="59"/>
      <c r="Q474" s="59"/>
    </row>
    <row r="475" spans="1:17" x14ac:dyDescent="0.25">
      <c r="A475" s="59"/>
      <c r="B475" s="59"/>
      <c r="C475" s="59"/>
      <c r="D475" s="59"/>
      <c r="E475" s="59"/>
      <c r="F475" s="59"/>
      <c r="G475" s="59"/>
      <c r="H475" s="59"/>
      <c r="I475" s="59"/>
      <c r="J475" s="59"/>
      <c r="K475" s="59"/>
      <c r="L475" s="59"/>
      <c r="M475" s="59"/>
      <c r="N475" s="59"/>
      <c r="O475" s="59"/>
      <c r="P475" s="59"/>
      <c r="Q475" s="59"/>
    </row>
    <row r="481" spans="1:17" x14ac:dyDescent="0.25">
      <c r="A481" s="59"/>
      <c r="B481" s="59"/>
      <c r="C481" s="59"/>
      <c r="D481" s="59"/>
      <c r="E481" s="59"/>
      <c r="F481" s="59"/>
      <c r="G481" s="59"/>
      <c r="H481" s="59"/>
      <c r="I481" s="59"/>
      <c r="J481" s="59"/>
      <c r="K481" s="59"/>
      <c r="L481" s="59"/>
      <c r="M481" s="59"/>
      <c r="N481" s="59"/>
      <c r="O481" s="59"/>
      <c r="P481" s="59"/>
      <c r="Q481" s="59"/>
    </row>
    <row r="482" spans="1:17" x14ac:dyDescent="0.25">
      <c r="A482" s="59"/>
      <c r="B482" s="59"/>
      <c r="C482" s="59"/>
      <c r="D482" s="59"/>
      <c r="E482" s="59"/>
      <c r="F482" s="59"/>
      <c r="G482" s="59"/>
      <c r="H482" s="59"/>
      <c r="I482" s="59"/>
      <c r="J482" s="59"/>
      <c r="K482" s="59"/>
      <c r="L482" s="59"/>
      <c r="M482" s="59"/>
      <c r="N482" s="59"/>
      <c r="O482" s="59"/>
      <c r="P482" s="59"/>
      <c r="Q482" s="59"/>
    </row>
    <row r="488" spans="1:17" x14ac:dyDescent="0.25">
      <c r="A488" s="59"/>
      <c r="B488" s="59"/>
      <c r="C488" s="59"/>
      <c r="D488" s="59"/>
      <c r="E488" s="59"/>
      <c r="F488" s="59"/>
      <c r="G488" s="59"/>
      <c r="H488" s="59"/>
      <c r="I488" s="59"/>
      <c r="J488" s="59"/>
      <c r="K488" s="59"/>
      <c r="L488" s="59"/>
      <c r="M488" s="59"/>
      <c r="N488" s="59"/>
      <c r="O488" s="59"/>
      <c r="P488" s="59"/>
      <c r="Q488" s="59"/>
    </row>
    <row r="489" spans="1:17" x14ac:dyDescent="0.25">
      <c r="A489" s="59"/>
      <c r="B489" s="59"/>
      <c r="C489" s="59"/>
      <c r="D489" s="59"/>
      <c r="E489" s="59"/>
      <c r="F489" s="59"/>
      <c r="G489" s="59"/>
      <c r="H489" s="59"/>
      <c r="I489" s="59"/>
      <c r="J489" s="59"/>
      <c r="K489" s="59"/>
      <c r="L489" s="59"/>
      <c r="M489" s="59"/>
      <c r="N489" s="59"/>
      <c r="O489" s="59"/>
      <c r="P489" s="59"/>
      <c r="Q489" s="59"/>
    </row>
    <row r="495" spans="1:17" x14ac:dyDescent="0.25">
      <c r="A495" s="59"/>
      <c r="B495" s="59"/>
      <c r="C495" s="59"/>
      <c r="D495" s="59"/>
      <c r="E495" s="59"/>
      <c r="F495" s="59"/>
      <c r="G495" s="59"/>
      <c r="H495" s="59"/>
      <c r="I495" s="59"/>
      <c r="J495" s="59"/>
      <c r="K495" s="59"/>
      <c r="L495" s="59"/>
      <c r="M495" s="59"/>
      <c r="N495" s="59"/>
      <c r="O495" s="59"/>
      <c r="P495" s="59"/>
      <c r="Q495" s="59"/>
    </row>
    <row r="496" spans="1:17" x14ac:dyDescent="0.25">
      <c r="A496" s="59"/>
      <c r="B496" s="59"/>
      <c r="C496" s="59"/>
      <c r="D496" s="59"/>
      <c r="E496" s="59"/>
      <c r="F496" s="59"/>
      <c r="G496" s="59"/>
      <c r="H496" s="59"/>
      <c r="I496" s="59"/>
      <c r="J496" s="59"/>
      <c r="K496" s="59"/>
      <c r="L496" s="59"/>
      <c r="M496" s="59"/>
      <c r="N496" s="59"/>
      <c r="O496" s="59"/>
      <c r="P496" s="59"/>
      <c r="Q496" s="59"/>
    </row>
    <row r="502" spans="1:17" x14ac:dyDescent="0.25">
      <c r="A502" s="59"/>
      <c r="B502" s="59"/>
      <c r="C502" s="59"/>
      <c r="D502" s="59"/>
      <c r="E502" s="59"/>
      <c r="F502" s="59"/>
      <c r="G502" s="59"/>
      <c r="H502" s="59"/>
      <c r="I502" s="59"/>
      <c r="J502" s="59"/>
      <c r="K502" s="59"/>
      <c r="L502" s="59"/>
      <c r="M502" s="59"/>
      <c r="N502" s="59"/>
      <c r="O502" s="59"/>
      <c r="P502" s="59"/>
      <c r="Q502" s="59"/>
    </row>
    <row r="503" spans="1:17" x14ac:dyDescent="0.25">
      <c r="A503" s="59"/>
      <c r="B503" s="59"/>
      <c r="C503" s="59"/>
      <c r="D503" s="59"/>
      <c r="E503" s="59"/>
      <c r="F503" s="59"/>
      <c r="G503" s="59"/>
      <c r="H503" s="59"/>
      <c r="I503" s="59"/>
      <c r="J503" s="59"/>
      <c r="K503" s="59"/>
      <c r="L503" s="59"/>
      <c r="M503" s="59"/>
      <c r="N503" s="59"/>
      <c r="O503" s="59"/>
      <c r="P503" s="59"/>
      <c r="Q503" s="59"/>
    </row>
    <row r="509" spans="1:17" x14ac:dyDescent="0.25">
      <c r="A509" s="59"/>
      <c r="B509" s="59"/>
      <c r="C509" s="59"/>
      <c r="D509" s="59"/>
      <c r="E509" s="59"/>
      <c r="F509" s="59"/>
      <c r="G509" s="59"/>
      <c r="H509" s="59"/>
      <c r="I509" s="59"/>
      <c r="J509" s="59"/>
      <c r="K509" s="59"/>
      <c r="L509" s="59"/>
      <c r="M509" s="59"/>
      <c r="N509" s="59"/>
      <c r="O509" s="59"/>
      <c r="P509" s="59"/>
      <c r="Q509" s="59"/>
    </row>
    <row r="510" spans="1:17" x14ac:dyDescent="0.25">
      <c r="A510" s="59"/>
      <c r="B510" s="59"/>
      <c r="C510" s="59"/>
      <c r="D510" s="59"/>
      <c r="E510" s="59"/>
      <c r="F510" s="59"/>
      <c r="G510" s="59"/>
      <c r="H510" s="59"/>
      <c r="I510" s="59"/>
      <c r="J510" s="59"/>
      <c r="K510" s="59"/>
      <c r="L510" s="59"/>
      <c r="M510" s="59"/>
      <c r="N510" s="59"/>
      <c r="O510" s="59"/>
      <c r="P510" s="59"/>
      <c r="Q510" s="59"/>
    </row>
    <row r="516" spans="1:17" x14ac:dyDescent="0.25">
      <c r="A516" s="59"/>
      <c r="B516" s="59"/>
      <c r="C516" s="59"/>
      <c r="D516" s="59"/>
      <c r="E516" s="59"/>
      <c r="F516" s="59"/>
      <c r="G516" s="59"/>
      <c r="H516" s="59"/>
      <c r="I516" s="59"/>
      <c r="J516" s="59"/>
      <c r="K516" s="59"/>
      <c r="L516" s="59"/>
      <c r="M516" s="59"/>
      <c r="N516" s="59"/>
      <c r="O516" s="59"/>
      <c r="P516" s="59"/>
      <c r="Q516" s="59"/>
    </row>
    <row r="517" spans="1:17" x14ac:dyDescent="0.25">
      <c r="A517" s="59"/>
      <c r="B517" s="59"/>
      <c r="C517" s="59"/>
      <c r="D517" s="59"/>
      <c r="E517" s="59"/>
      <c r="F517" s="59"/>
      <c r="G517" s="59"/>
      <c r="H517" s="59"/>
      <c r="I517" s="59"/>
      <c r="J517" s="59"/>
      <c r="K517" s="59"/>
      <c r="L517" s="59"/>
      <c r="M517" s="59"/>
      <c r="N517" s="59"/>
      <c r="O517" s="59"/>
      <c r="P517" s="59"/>
      <c r="Q517" s="59"/>
    </row>
    <row r="523" spans="1:17" x14ac:dyDescent="0.25">
      <c r="A523" s="59"/>
      <c r="B523" s="59"/>
      <c r="C523" s="59"/>
      <c r="D523" s="59"/>
      <c r="E523" s="59"/>
      <c r="F523" s="59"/>
      <c r="G523" s="59"/>
      <c r="H523" s="59"/>
      <c r="I523" s="59"/>
      <c r="J523" s="59"/>
      <c r="K523" s="59"/>
      <c r="L523" s="59"/>
      <c r="M523" s="59"/>
      <c r="N523" s="59"/>
      <c r="O523" s="59"/>
      <c r="P523" s="59"/>
      <c r="Q523" s="59"/>
    </row>
    <row r="524" spans="1:17" x14ac:dyDescent="0.25">
      <c r="A524" s="59"/>
      <c r="B524" s="59"/>
      <c r="C524" s="59"/>
      <c r="D524" s="59"/>
      <c r="E524" s="59"/>
      <c r="F524" s="59"/>
      <c r="G524" s="59"/>
      <c r="H524" s="59"/>
      <c r="I524" s="59"/>
      <c r="J524" s="59"/>
      <c r="K524" s="59"/>
      <c r="L524" s="59"/>
      <c r="M524" s="59"/>
      <c r="N524" s="59"/>
      <c r="O524" s="59"/>
      <c r="P524" s="59"/>
      <c r="Q524" s="59"/>
    </row>
    <row r="530" spans="1:17" x14ac:dyDescent="0.25">
      <c r="A530" s="59"/>
      <c r="B530" s="59"/>
      <c r="C530" s="59"/>
      <c r="D530" s="59"/>
      <c r="E530" s="59"/>
      <c r="F530" s="59"/>
      <c r="G530" s="59"/>
      <c r="H530" s="59"/>
      <c r="I530" s="59"/>
      <c r="J530" s="59"/>
      <c r="K530" s="59"/>
      <c r="L530" s="59"/>
      <c r="M530" s="59"/>
      <c r="N530" s="59"/>
      <c r="O530" s="59"/>
      <c r="P530" s="59"/>
      <c r="Q530" s="59"/>
    </row>
    <row r="531" spans="1:17" x14ac:dyDescent="0.25">
      <c r="A531" s="59"/>
      <c r="B531" s="59"/>
      <c r="C531" s="59"/>
      <c r="D531" s="59"/>
      <c r="E531" s="59"/>
      <c r="F531" s="59"/>
      <c r="G531" s="59"/>
      <c r="H531" s="59"/>
      <c r="I531" s="59"/>
      <c r="J531" s="59"/>
      <c r="K531" s="59"/>
      <c r="L531" s="59"/>
      <c r="M531" s="59"/>
      <c r="N531" s="59"/>
      <c r="O531" s="59"/>
      <c r="P531" s="59"/>
      <c r="Q531" s="59"/>
    </row>
    <row r="537" spans="1:17" x14ac:dyDescent="0.25">
      <c r="A537" s="59"/>
      <c r="B537" s="59"/>
      <c r="C537" s="59"/>
      <c r="D537" s="59"/>
      <c r="E537" s="59"/>
      <c r="F537" s="59"/>
      <c r="G537" s="59"/>
      <c r="H537" s="59"/>
      <c r="I537" s="59"/>
      <c r="J537" s="59"/>
      <c r="K537" s="59"/>
      <c r="L537" s="59"/>
      <c r="M537" s="59"/>
      <c r="N537" s="59"/>
      <c r="O537" s="59"/>
      <c r="P537" s="59"/>
      <c r="Q537" s="59"/>
    </row>
    <row r="538" spans="1:17" x14ac:dyDescent="0.25">
      <c r="A538" s="59"/>
      <c r="B538" s="59"/>
      <c r="C538" s="59"/>
      <c r="D538" s="59"/>
      <c r="E538" s="59"/>
      <c r="F538" s="59"/>
      <c r="G538" s="59"/>
      <c r="H538" s="59"/>
      <c r="I538" s="59"/>
      <c r="J538" s="59"/>
      <c r="K538" s="59"/>
      <c r="L538" s="59"/>
      <c r="M538" s="59"/>
      <c r="N538" s="59"/>
      <c r="O538" s="59"/>
      <c r="P538" s="59"/>
      <c r="Q538" s="59"/>
    </row>
    <row r="544" spans="1:17" x14ac:dyDescent="0.25">
      <c r="A544" s="59"/>
      <c r="B544" s="59"/>
      <c r="C544" s="59"/>
      <c r="D544" s="59"/>
      <c r="E544" s="59"/>
      <c r="F544" s="59"/>
      <c r="G544" s="59"/>
      <c r="H544" s="59"/>
      <c r="I544" s="59"/>
      <c r="J544" s="59"/>
      <c r="K544" s="59"/>
      <c r="L544" s="59"/>
      <c r="M544" s="59"/>
      <c r="N544" s="59"/>
      <c r="O544" s="59"/>
      <c r="P544" s="59"/>
      <c r="Q544" s="59"/>
    </row>
    <row r="545" spans="1:17" x14ac:dyDescent="0.25">
      <c r="A545" s="59"/>
      <c r="B545" s="59"/>
      <c r="C545" s="59"/>
      <c r="D545" s="59"/>
      <c r="E545" s="59"/>
      <c r="F545" s="59"/>
      <c r="G545" s="59"/>
      <c r="H545" s="59"/>
      <c r="I545" s="59"/>
      <c r="J545" s="59"/>
      <c r="K545" s="59"/>
      <c r="L545" s="59"/>
      <c r="M545" s="59"/>
      <c r="N545" s="59"/>
      <c r="O545" s="59"/>
      <c r="P545" s="59"/>
      <c r="Q545" s="59"/>
    </row>
    <row r="551" spans="1:17" x14ac:dyDescent="0.25">
      <c r="A551" s="59"/>
      <c r="B551" s="59"/>
      <c r="C551" s="59"/>
      <c r="D551" s="59"/>
      <c r="E551" s="59"/>
      <c r="F551" s="59"/>
      <c r="G551" s="59"/>
      <c r="H551" s="59"/>
      <c r="I551" s="59"/>
      <c r="J551" s="59"/>
      <c r="K551" s="59"/>
      <c r="L551" s="59"/>
      <c r="M551" s="59"/>
      <c r="N551" s="59"/>
      <c r="O551" s="59"/>
      <c r="P551" s="59"/>
      <c r="Q551" s="59"/>
    </row>
    <row r="552" spans="1:17" x14ac:dyDescent="0.25">
      <c r="A552" s="59"/>
      <c r="B552" s="59"/>
      <c r="C552" s="59"/>
      <c r="D552" s="59"/>
      <c r="E552" s="59"/>
      <c r="F552" s="59"/>
      <c r="G552" s="59"/>
      <c r="H552" s="59"/>
      <c r="I552" s="59"/>
      <c r="J552" s="59"/>
      <c r="K552" s="59"/>
      <c r="L552" s="59"/>
      <c r="M552" s="59"/>
      <c r="N552" s="59"/>
      <c r="O552" s="59"/>
      <c r="P552" s="59"/>
      <c r="Q552" s="59"/>
    </row>
    <row r="558" spans="1:17" x14ac:dyDescent="0.25">
      <c r="A558" s="59"/>
      <c r="B558" s="59"/>
      <c r="C558" s="59"/>
      <c r="D558" s="59"/>
      <c r="E558" s="59"/>
      <c r="F558" s="59"/>
      <c r="G558" s="59"/>
      <c r="H558" s="59"/>
      <c r="I558" s="59"/>
      <c r="J558" s="59"/>
      <c r="K558" s="59"/>
      <c r="L558" s="59"/>
      <c r="M558" s="59"/>
      <c r="N558" s="59"/>
      <c r="O558" s="59"/>
      <c r="P558" s="59"/>
      <c r="Q558" s="59"/>
    </row>
    <row r="559" spans="1:17" x14ac:dyDescent="0.25">
      <c r="A559" s="59"/>
      <c r="B559" s="59"/>
      <c r="C559" s="59"/>
      <c r="D559" s="59"/>
      <c r="E559" s="59"/>
      <c r="F559" s="59"/>
      <c r="G559" s="59"/>
      <c r="H559" s="59"/>
      <c r="I559" s="59"/>
      <c r="J559" s="59"/>
      <c r="K559" s="59"/>
      <c r="L559" s="59"/>
      <c r="M559" s="59"/>
      <c r="N559" s="59"/>
      <c r="O559" s="59"/>
      <c r="P559" s="59"/>
      <c r="Q559" s="59"/>
    </row>
    <row r="565" spans="1:17" x14ac:dyDescent="0.25">
      <c r="A565" s="59"/>
      <c r="B565" s="59"/>
      <c r="C565" s="59"/>
      <c r="D565" s="59"/>
      <c r="E565" s="59"/>
      <c r="F565" s="59"/>
      <c r="G565" s="59"/>
      <c r="H565" s="59"/>
      <c r="I565" s="59"/>
      <c r="J565" s="59"/>
      <c r="K565" s="59"/>
      <c r="L565" s="59"/>
      <c r="M565" s="59"/>
      <c r="N565" s="59"/>
      <c r="O565" s="59"/>
      <c r="P565" s="59"/>
      <c r="Q565" s="59"/>
    </row>
    <row r="566" spans="1:17" x14ac:dyDescent="0.25">
      <c r="A566" s="59"/>
      <c r="B566" s="59"/>
      <c r="C566" s="59"/>
      <c r="D566" s="59"/>
      <c r="E566" s="59"/>
      <c r="F566" s="59"/>
      <c r="G566" s="59"/>
      <c r="H566" s="59"/>
      <c r="I566" s="59"/>
      <c r="J566" s="59"/>
      <c r="K566" s="59"/>
      <c r="L566" s="59"/>
      <c r="M566" s="59"/>
      <c r="N566" s="59"/>
      <c r="O566" s="59"/>
      <c r="P566" s="59"/>
      <c r="Q566" s="59"/>
    </row>
    <row r="572" spans="1:17" x14ac:dyDescent="0.25">
      <c r="A572" s="59"/>
      <c r="B572" s="59"/>
      <c r="C572" s="59"/>
      <c r="D572" s="59"/>
      <c r="E572" s="59"/>
      <c r="F572" s="59"/>
      <c r="G572" s="59"/>
      <c r="H572" s="59"/>
      <c r="I572" s="59"/>
      <c r="J572" s="59"/>
      <c r="K572" s="59"/>
      <c r="L572" s="59"/>
      <c r="M572" s="59"/>
      <c r="N572" s="59"/>
      <c r="O572" s="59"/>
      <c r="P572" s="59"/>
      <c r="Q572" s="59"/>
    </row>
    <row r="573" spans="1:17" x14ac:dyDescent="0.25">
      <c r="A573" s="59"/>
      <c r="B573" s="59"/>
      <c r="C573" s="59"/>
      <c r="D573" s="59"/>
      <c r="E573" s="59"/>
      <c r="F573" s="59"/>
      <c r="G573" s="59"/>
      <c r="H573" s="59"/>
      <c r="I573" s="59"/>
      <c r="J573" s="59"/>
      <c r="K573" s="59"/>
      <c r="L573" s="59"/>
      <c r="M573" s="59"/>
      <c r="N573" s="59"/>
      <c r="O573" s="59"/>
      <c r="P573" s="59"/>
      <c r="Q573" s="59"/>
    </row>
    <row r="579" spans="1:17" x14ac:dyDescent="0.25">
      <c r="A579" s="59"/>
      <c r="B579" s="59"/>
      <c r="C579" s="59"/>
      <c r="D579" s="59"/>
      <c r="E579" s="59"/>
      <c r="F579" s="59"/>
      <c r="G579" s="59"/>
      <c r="H579" s="59"/>
      <c r="I579" s="59"/>
      <c r="J579" s="59"/>
      <c r="K579" s="59"/>
      <c r="L579" s="59"/>
      <c r="M579" s="59"/>
      <c r="N579" s="59"/>
      <c r="O579" s="59"/>
      <c r="P579" s="59"/>
      <c r="Q579" s="59"/>
    </row>
    <row r="580" spans="1:17" x14ac:dyDescent="0.25">
      <c r="A580" s="59"/>
      <c r="B580" s="59"/>
      <c r="C580" s="59"/>
      <c r="D580" s="59"/>
      <c r="E580" s="59"/>
      <c r="F580" s="59"/>
      <c r="G580" s="59"/>
      <c r="H580" s="59"/>
      <c r="I580" s="59"/>
      <c r="J580" s="59"/>
      <c r="K580" s="59"/>
      <c r="L580" s="59"/>
      <c r="M580" s="59"/>
      <c r="N580" s="59"/>
      <c r="O580" s="59"/>
      <c r="P580" s="59"/>
      <c r="Q580" s="59"/>
    </row>
    <row r="586" spans="1:17" x14ac:dyDescent="0.25">
      <c r="A586" s="59"/>
      <c r="B586" s="59"/>
      <c r="C586" s="59"/>
      <c r="D586" s="59"/>
      <c r="E586" s="59"/>
      <c r="F586" s="59"/>
      <c r="G586" s="59"/>
      <c r="H586" s="59"/>
      <c r="I586" s="59"/>
      <c r="J586" s="59"/>
      <c r="K586" s="59"/>
      <c r="L586" s="59"/>
      <c r="M586" s="59"/>
      <c r="N586" s="59"/>
      <c r="O586" s="59"/>
      <c r="P586" s="59"/>
      <c r="Q586" s="59"/>
    </row>
    <row r="587" spans="1:17" x14ac:dyDescent="0.25">
      <c r="A587" s="59"/>
      <c r="B587" s="59"/>
      <c r="C587" s="59"/>
      <c r="D587" s="59"/>
      <c r="E587" s="59"/>
      <c r="F587" s="59"/>
      <c r="G587" s="59"/>
      <c r="H587" s="59"/>
      <c r="I587" s="59"/>
      <c r="J587" s="59"/>
      <c r="K587" s="59"/>
      <c r="L587" s="59"/>
      <c r="M587" s="59"/>
      <c r="N587" s="59"/>
      <c r="O587" s="59"/>
      <c r="P587" s="59"/>
      <c r="Q587" s="59"/>
    </row>
    <row r="593" spans="1:17" x14ac:dyDescent="0.25">
      <c r="A593" s="59"/>
      <c r="B593" s="59"/>
      <c r="C593" s="59"/>
      <c r="D593" s="59"/>
      <c r="E593" s="59"/>
      <c r="F593" s="59"/>
      <c r="G593" s="59"/>
      <c r="H593" s="59"/>
      <c r="I593" s="59"/>
      <c r="J593" s="59"/>
      <c r="K593" s="59"/>
      <c r="L593" s="59"/>
      <c r="M593" s="59"/>
      <c r="N593" s="59"/>
      <c r="O593" s="59"/>
      <c r="P593" s="59"/>
      <c r="Q593" s="59"/>
    </row>
    <row r="594" spans="1:17" x14ac:dyDescent="0.25">
      <c r="A594" s="59"/>
      <c r="B594" s="59"/>
      <c r="C594" s="59"/>
      <c r="D594" s="59"/>
      <c r="E594" s="59"/>
      <c r="F594" s="59"/>
      <c r="G594" s="59"/>
      <c r="H594" s="59"/>
      <c r="I594" s="59"/>
      <c r="J594" s="59"/>
      <c r="K594" s="59"/>
      <c r="L594" s="59"/>
      <c r="M594" s="59"/>
      <c r="N594" s="59"/>
      <c r="O594" s="59"/>
      <c r="P594" s="59"/>
      <c r="Q594" s="59"/>
    </row>
    <row r="600" spans="1:17" x14ac:dyDescent="0.25">
      <c r="A600" s="59"/>
      <c r="B600" s="59"/>
      <c r="C600" s="59"/>
      <c r="D600" s="59"/>
      <c r="E600" s="59"/>
      <c r="F600" s="59"/>
      <c r="G600" s="59"/>
      <c r="H600" s="59"/>
      <c r="I600" s="59"/>
      <c r="J600" s="59"/>
      <c r="K600" s="59"/>
      <c r="L600" s="59"/>
      <c r="M600" s="59"/>
      <c r="N600" s="59"/>
      <c r="O600" s="59"/>
      <c r="P600" s="59"/>
      <c r="Q600" s="59"/>
    </row>
    <row r="601" spans="1:17" x14ac:dyDescent="0.25">
      <c r="A601" s="59"/>
      <c r="B601" s="59"/>
      <c r="C601" s="59"/>
      <c r="D601" s="59"/>
      <c r="E601" s="59"/>
      <c r="F601" s="59"/>
      <c r="G601" s="59"/>
      <c r="H601" s="59"/>
      <c r="I601" s="59"/>
      <c r="J601" s="59"/>
      <c r="K601" s="59"/>
      <c r="L601" s="59"/>
      <c r="M601" s="59"/>
      <c r="N601" s="59"/>
      <c r="O601" s="59"/>
      <c r="P601" s="59"/>
      <c r="Q601" s="59"/>
    </row>
    <row r="607" spans="1:17" x14ac:dyDescent="0.25">
      <c r="A607" s="59"/>
      <c r="B607" s="59"/>
      <c r="C607" s="59"/>
      <c r="D607" s="59"/>
      <c r="E607" s="59"/>
      <c r="F607" s="59"/>
      <c r="G607" s="59"/>
      <c r="H607" s="59"/>
      <c r="I607" s="59"/>
      <c r="J607" s="59"/>
      <c r="K607" s="59"/>
      <c r="L607" s="59"/>
      <c r="M607" s="59"/>
      <c r="N607" s="59"/>
      <c r="O607" s="59"/>
      <c r="P607" s="59"/>
      <c r="Q607" s="59"/>
    </row>
    <row r="608" spans="1:17" x14ac:dyDescent="0.25">
      <c r="A608" s="59"/>
      <c r="B608" s="59"/>
      <c r="C608" s="59"/>
      <c r="D608" s="59"/>
      <c r="E608" s="59"/>
      <c r="F608" s="59"/>
      <c r="G608" s="59"/>
      <c r="H608" s="59"/>
      <c r="I608" s="59"/>
      <c r="J608" s="59"/>
      <c r="K608" s="59"/>
      <c r="L608" s="59"/>
      <c r="M608" s="59"/>
      <c r="N608" s="59"/>
      <c r="O608" s="59"/>
      <c r="P608" s="59"/>
      <c r="Q608" s="59"/>
    </row>
    <row r="614" spans="1:17" x14ac:dyDescent="0.25">
      <c r="A614" s="59"/>
      <c r="B614" s="59"/>
      <c r="C614" s="59"/>
      <c r="D614" s="59"/>
      <c r="E614" s="59"/>
      <c r="F614" s="59"/>
      <c r="G614" s="59"/>
      <c r="H614" s="59"/>
      <c r="I614" s="59"/>
      <c r="J614" s="59"/>
      <c r="K614" s="59"/>
      <c r="L614" s="59"/>
      <c r="M614" s="59"/>
      <c r="N614" s="59"/>
      <c r="O614" s="59"/>
      <c r="P614" s="59"/>
      <c r="Q614" s="59"/>
    </row>
    <row r="615" spans="1:17" x14ac:dyDescent="0.25">
      <c r="A615" s="59"/>
      <c r="B615" s="59"/>
      <c r="C615" s="59"/>
      <c r="D615" s="59"/>
      <c r="E615" s="59"/>
      <c r="F615" s="59"/>
      <c r="G615" s="59"/>
      <c r="H615" s="59"/>
      <c r="I615" s="59"/>
      <c r="J615" s="59"/>
      <c r="K615" s="59"/>
      <c r="L615" s="59"/>
      <c r="M615" s="59"/>
      <c r="N615" s="59"/>
      <c r="O615" s="59"/>
      <c r="P615" s="59"/>
      <c r="Q615" s="59"/>
    </row>
    <row r="621" spans="1:17" x14ac:dyDescent="0.25">
      <c r="A621" s="59"/>
      <c r="B621" s="59"/>
      <c r="C621" s="59"/>
      <c r="D621" s="59"/>
      <c r="E621" s="59"/>
      <c r="F621" s="59"/>
      <c r="G621" s="59"/>
      <c r="H621" s="59"/>
      <c r="I621" s="59"/>
      <c r="J621" s="59"/>
      <c r="K621" s="59"/>
      <c r="L621" s="59"/>
      <c r="M621" s="59"/>
      <c r="N621" s="59"/>
      <c r="O621" s="59"/>
      <c r="P621" s="59"/>
      <c r="Q621" s="59"/>
    </row>
    <row r="622" spans="1:17" x14ac:dyDescent="0.25">
      <c r="A622" s="59"/>
      <c r="B622" s="59"/>
      <c r="C622" s="59"/>
      <c r="D622" s="59"/>
      <c r="E622" s="59"/>
      <c r="F622" s="59"/>
      <c r="G622" s="59"/>
      <c r="H622" s="59"/>
      <c r="I622" s="59"/>
      <c r="J622" s="59"/>
      <c r="K622" s="59"/>
      <c r="L622" s="59"/>
      <c r="M622" s="59"/>
      <c r="N622" s="59"/>
      <c r="O622" s="59"/>
      <c r="P622" s="59"/>
      <c r="Q622" s="59"/>
    </row>
    <row r="628" spans="1:17" x14ac:dyDescent="0.25">
      <c r="A628" s="59"/>
      <c r="B628" s="59"/>
      <c r="C628" s="59"/>
      <c r="D628" s="59"/>
      <c r="E628" s="59"/>
      <c r="F628" s="59"/>
      <c r="G628" s="59"/>
      <c r="H628" s="59"/>
      <c r="I628" s="59"/>
      <c r="J628" s="59"/>
      <c r="K628" s="59"/>
      <c r="L628" s="59"/>
      <c r="M628" s="59"/>
      <c r="N628" s="59"/>
      <c r="O628" s="59"/>
      <c r="P628" s="59"/>
      <c r="Q628" s="59"/>
    </row>
    <row r="629" spans="1:17" x14ac:dyDescent="0.25">
      <c r="A629" s="59"/>
      <c r="B629" s="59"/>
      <c r="C629" s="59"/>
      <c r="D629" s="59"/>
      <c r="E629" s="59"/>
      <c r="F629" s="59"/>
      <c r="G629" s="59"/>
      <c r="H629" s="59"/>
      <c r="I629" s="59"/>
      <c r="J629" s="59"/>
      <c r="K629" s="59"/>
      <c r="L629" s="59"/>
      <c r="M629" s="59"/>
      <c r="N629" s="59"/>
      <c r="O629" s="59"/>
      <c r="P629" s="59"/>
      <c r="Q629" s="59"/>
    </row>
    <row r="635" spans="1:17" x14ac:dyDescent="0.25">
      <c r="A635" s="59"/>
      <c r="B635" s="59"/>
      <c r="C635" s="59"/>
      <c r="D635" s="59"/>
      <c r="E635" s="59"/>
      <c r="F635" s="59"/>
      <c r="G635" s="59"/>
      <c r="H635" s="59"/>
      <c r="I635" s="59"/>
      <c r="J635" s="59"/>
      <c r="K635" s="59"/>
      <c r="L635" s="59"/>
      <c r="M635" s="59"/>
      <c r="N635" s="59"/>
      <c r="O635" s="59"/>
      <c r="P635" s="59"/>
      <c r="Q635" s="59"/>
    </row>
    <row r="636" spans="1:17" x14ac:dyDescent="0.25">
      <c r="A636" s="59"/>
      <c r="B636" s="59"/>
      <c r="C636" s="59"/>
      <c r="D636" s="59"/>
      <c r="E636" s="59"/>
      <c r="F636" s="59"/>
      <c r="G636" s="59"/>
      <c r="H636" s="59"/>
      <c r="I636" s="59"/>
      <c r="J636" s="59"/>
      <c r="K636" s="59"/>
      <c r="L636" s="59"/>
      <c r="M636" s="59"/>
      <c r="N636" s="59"/>
      <c r="O636" s="59"/>
      <c r="P636" s="59"/>
      <c r="Q636" s="59"/>
    </row>
    <row r="642" spans="1:17" x14ac:dyDescent="0.25">
      <c r="A642" s="59"/>
      <c r="B642" s="59"/>
      <c r="C642" s="59"/>
      <c r="D642" s="59"/>
      <c r="E642" s="59"/>
      <c r="F642" s="59"/>
      <c r="G642" s="59"/>
      <c r="H642" s="59"/>
      <c r="I642" s="59"/>
      <c r="J642" s="59"/>
      <c r="K642" s="59"/>
      <c r="L642" s="59"/>
      <c r="M642" s="59"/>
      <c r="N642" s="59"/>
      <c r="O642" s="59"/>
      <c r="P642" s="59"/>
      <c r="Q642" s="59"/>
    </row>
    <row r="643" spans="1:17" x14ac:dyDescent="0.25">
      <c r="A643" s="59"/>
      <c r="B643" s="59"/>
      <c r="C643" s="59"/>
      <c r="D643" s="59"/>
      <c r="E643" s="59"/>
      <c r="F643" s="59"/>
      <c r="G643" s="59"/>
      <c r="H643" s="59"/>
      <c r="I643" s="59"/>
      <c r="J643" s="59"/>
      <c r="K643" s="59"/>
      <c r="L643" s="59"/>
      <c r="M643" s="59"/>
      <c r="N643" s="59"/>
      <c r="O643" s="59"/>
      <c r="P643" s="59"/>
      <c r="Q643" s="59"/>
    </row>
    <row r="649" spans="1:17" x14ac:dyDescent="0.25">
      <c r="A649" s="59"/>
      <c r="B649" s="59"/>
      <c r="C649" s="59"/>
      <c r="D649" s="59"/>
      <c r="E649" s="59"/>
      <c r="F649" s="59"/>
      <c r="G649" s="59"/>
      <c r="H649" s="59"/>
      <c r="I649" s="59"/>
      <c r="J649" s="59"/>
      <c r="K649" s="59"/>
      <c r="L649" s="59"/>
      <c r="M649" s="59"/>
      <c r="N649" s="59"/>
      <c r="O649" s="59"/>
      <c r="P649" s="59"/>
      <c r="Q649" s="59"/>
    </row>
    <row r="650" spans="1:17" x14ac:dyDescent="0.25">
      <c r="A650" s="59"/>
      <c r="B650" s="59"/>
      <c r="C650" s="59"/>
      <c r="D650" s="59"/>
      <c r="E650" s="59"/>
      <c r="F650" s="59"/>
      <c r="G650" s="59"/>
      <c r="H650" s="59"/>
      <c r="I650" s="59"/>
      <c r="J650" s="59"/>
      <c r="K650" s="59"/>
      <c r="L650" s="59"/>
      <c r="M650" s="59"/>
      <c r="N650" s="59"/>
      <c r="O650" s="59"/>
      <c r="P650" s="59"/>
      <c r="Q650" s="59"/>
    </row>
    <row r="656" spans="1:17" x14ac:dyDescent="0.25">
      <c r="A656" s="59"/>
      <c r="B656" s="59"/>
      <c r="C656" s="59"/>
      <c r="D656" s="59"/>
      <c r="E656" s="59"/>
      <c r="F656" s="59"/>
      <c r="G656" s="59"/>
      <c r="H656" s="59"/>
      <c r="I656" s="59"/>
      <c r="J656" s="59"/>
      <c r="K656" s="59"/>
      <c r="L656" s="59"/>
      <c r="M656" s="59"/>
      <c r="N656" s="59"/>
      <c r="O656" s="59"/>
      <c r="P656" s="59"/>
      <c r="Q656" s="59"/>
    </row>
    <row r="657" spans="1:17" x14ac:dyDescent="0.25">
      <c r="A657" s="59"/>
      <c r="B657" s="59"/>
      <c r="C657" s="59"/>
      <c r="D657" s="59"/>
      <c r="E657" s="59"/>
      <c r="F657" s="59"/>
      <c r="G657" s="59"/>
      <c r="H657" s="59"/>
      <c r="I657" s="59"/>
      <c r="J657" s="59"/>
      <c r="K657" s="59"/>
      <c r="L657" s="59"/>
      <c r="M657" s="59"/>
      <c r="N657" s="59"/>
      <c r="O657" s="59"/>
      <c r="P657" s="59"/>
      <c r="Q657" s="59"/>
    </row>
    <row r="663" spans="1:17" x14ac:dyDescent="0.25">
      <c r="A663" s="59"/>
      <c r="B663" s="59"/>
      <c r="C663" s="59"/>
      <c r="D663" s="59"/>
      <c r="E663" s="59"/>
      <c r="F663" s="59"/>
      <c r="G663" s="59"/>
      <c r="H663" s="59"/>
      <c r="I663" s="59"/>
      <c r="J663" s="59"/>
      <c r="K663" s="59"/>
      <c r="L663" s="59"/>
      <c r="M663" s="59"/>
      <c r="N663" s="59"/>
      <c r="O663" s="59"/>
      <c r="P663" s="59"/>
      <c r="Q663" s="59"/>
    </row>
    <row r="664" spans="1:17" x14ac:dyDescent="0.25">
      <c r="A664" s="59"/>
      <c r="B664" s="59"/>
      <c r="C664" s="59"/>
      <c r="D664" s="59"/>
      <c r="E664" s="59"/>
      <c r="F664" s="59"/>
      <c r="G664" s="59"/>
      <c r="H664" s="59"/>
      <c r="I664" s="59"/>
      <c r="J664" s="59"/>
      <c r="K664" s="59"/>
      <c r="L664" s="59"/>
      <c r="M664" s="59"/>
      <c r="N664" s="59"/>
      <c r="O664" s="59"/>
      <c r="P664" s="59"/>
      <c r="Q664" s="59"/>
    </row>
    <row r="670" spans="1:17" x14ac:dyDescent="0.25">
      <c r="A670" s="59"/>
      <c r="B670" s="59"/>
      <c r="C670" s="59"/>
      <c r="D670" s="59"/>
      <c r="E670" s="59"/>
      <c r="F670" s="59"/>
      <c r="G670" s="59"/>
      <c r="H670" s="59"/>
      <c r="I670" s="59"/>
      <c r="J670" s="59"/>
      <c r="K670" s="59"/>
      <c r="L670" s="59"/>
      <c r="M670" s="59"/>
      <c r="N670" s="59"/>
      <c r="O670" s="59"/>
      <c r="P670" s="59"/>
      <c r="Q670" s="59"/>
    </row>
    <row r="671" spans="1:17" x14ac:dyDescent="0.25">
      <c r="A671" s="59"/>
      <c r="B671" s="59"/>
      <c r="C671" s="59"/>
      <c r="D671" s="59"/>
      <c r="E671" s="59"/>
      <c r="F671" s="59"/>
      <c r="G671" s="59"/>
      <c r="H671" s="59"/>
      <c r="I671" s="59"/>
      <c r="J671" s="59"/>
      <c r="K671" s="59"/>
      <c r="L671" s="59"/>
      <c r="M671" s="59"/>
      <c r="N671" s="59"/>
      <c r="O671" s="59"/>
      <c r="P671" s="59"/>
      <c r="Q671" s="59"/>
    </row>
    <row r="677" spans="1:17" x14ac:dyDescent="0.25">
      <c r="A677" s="59"/>
      <c r="B677" s="59"/>
      <c r="C677" s="59"/>
      <c r="D677" s="59"/>
      <c r="E677" s="59"/>
      <c r="F677" s="59"/>
      <c r="G677" s="59"/>
      <c r="H677" s="59"/>
      <c r="I677" s="59"/>
      <c r="J677" s="59"/>
      <c r="K677" s="59"/>
      <c r="L677" s="59"/>
      <c r="M677" s="59"/>
      <c r="N677" s="59"/>
      <c r="O677" s="59"/>
      <c r="P677" s="59"/>
      <c r="Q677" s="59"/>
    </row>
    <row r="678" spans="1:17" x14ac:dyDescent="0.25">
      <c r="A678" s="59"/>
      <c r="B678" s="59"/>
      <c r="C678" s="59"/>
      <c r="D678" s="59"/>
      <c r="E678" s="59"/>
      <c r="F678" s="59"/>
      <c r="G678" s="59"/>
      <c r="H678" s="59"/>
      <c r="I678" s="59"/>
      <c r="J678" s="59"/>
      <c r="K678" s="59"/>
      <c r="L678" s="59"/>
      <c r="M678" s="59"/>
      <c r="N678" s="59"/>
      <c r="O678" s="59"/>
      <c r="P678" s="59"/>
      <c r="Q678" s="59"/>
    </row>
    <row r="684" spans="1:17" x14ac:dyDescent="0.25">
      <c r="A684" s="59"/>
      <c r="B684" s="59"/>
      <c r="C684" s="59"/>
      <c r="D684" s="59"/>
      <c r="E684" s="59"/>
      <c r="F684" s="59"/>
      <c r="G684" s="59"/>
      <c r="H684" s="59"/>
      <c r="I684" s="59"/>
      <c r="J684" s="59"/>
      <c r="K684" s="59"/>
      <c r="L684" s="59"/>
      <c r="M684" s="59"/>
      <c r="N684" s="59"/>
      <c r="O684" s="59"/>
      <c r="P684" s="59"/>
      <c r="Q684" s="59"/>
    </row>
    <row r="685" spans="1:17" x14ac:dyDescent="0.25">
      <c r="A685" s="59"/>
      <c r="B685" s="59"/>
      <c r="C685" s="59"/>
      <c r="D685" s="59"/>
      <c r="E685" s="59"/>
      <c r="F685" s="59"/>
      <c r="G685" s="59"/>
      <c r="H685" s="59"/>
      <c r="I685" s="59"/>
      <c r="J685" s="59"/>
      <c r="K685" s="59"/>
      <c r="L685" s="59"/>
      <c r="M685" s="59"/>
      <c r="N685" s="59"/>
      <c r="O685" s="59"/>
      <c r="P685" s="59"/>
      <c r="Q685" s="59"/>
    </row>
    <row r="691" spans="1:17" x14ac:dyDescent="0.25">
      <c r="A691" s="59"/>
      <c r="B691" s="59"/>
      <c r="C691" s="59"/>
      <c r="D691" s="59"/>
      <c r="E691" s="59"/>
      <c r="F691" s="59"/>
      <c r="G691" s="59"/>
      <c r="H691" s="59"/>
      <c r="I691" s="59"/>
      <c r="J691" s="59"/>
      <c r="K691" s="59"/>
      <c r="L691" s="59"/>
      <c r="M691" s="59"/>
      <c r="N691" s="59"/>
      <c r="O691" s="59"/>
      <c r="P691" s="59"/>
      <c r="Q691" s="59"/>
    </row>
    <row r="692" spans="1:17" x14ac:dyDescent="0.25">
      <c r="A692" s="59"/>
      <c r="B692" s="59"/>
      <c r="C692" s="59"/>
      <c r="D692" s="59"/>
      <c r="E692" s="59"/>
      <c r="F692" s="59"/>
      <c r="G692" s="59"/>
      <c r="H692" s="59"/>
      <c r="I692" s="59"/>
      <c r="J692" s="59"/>
      <c r="K692" s="59"/>
      <c r="L692" s="59"/>
      <c r="M692" s="59"/>
      <c r="N692" s="59"/>
      <c r="O692" s="59"/>
      <c r="P692" s="59"/>
      <c r="Q692" s="59"/>
    </row>
    <row r="698" spans="1:17" x14ac:dyDescent="0.25">
      <c r="A698" s="59"/>
      <c r="B698" s="59"/>
      <c r="C698" s="59"/>
      <c r="D698" s="59"/>
      <c r="E698" s="59"/>
      <c r="F698" s="59"/>
      <c r="G698" s="59"/>
      <c r="H698" s="59"/>
      <c r="I698" s="59"/>
      <c r="J698" s="59"/>
      <c r="K698" s="59"/>
      <c r="L698" s="59"/>
      <c r="M698" s="59"/>
      <c r="N698" s="59"/>
      <c r="O698" s="59"/>
      <c r="P698" s="59"/>
      <c r="Q698" s="59"/>
    </row>
    <row r="699" spans="1:17" x14ac:dyDescent="0.25">
      <c r="A699" s="59"/>
      <c r="B699" s="59"/>
      <c r="C699" s="59"/>
      <c r="D699" s="59"/>
      <c r="E699" s="59"/>
      <c r="F699" s="59"/>
      <c r="G699" s="59"/>
      <c r="H699" s="59"/>
      <c r="I699" s="59"/>
      <c r="J699" s="59"/>
      <c r="K699" s="59"/>
      <c r="L699" s="59"/>
      <c r="M699" s="59"/>
      <c r="N699" s="59"/>
      <c r="O699" s="59"/>
      <c r="P699" s="59"/>
      <c r="Q699" s="59"/>
    </row>
    <row r="705" spans="1:17" x14ac:dyDescent="0.25">
      <c r="A705" s="59"/>
      <c r="B705" s="59"/>
      <c r="C705" s="59"/>
      <c r="D705" s="59"/>
      <c r="E705" s="59"/>
      <c r="F705" s="59"/>
      <c r="G705" s="59"/>
      <c r="H705" s="59"/>
      <c r="I705" s="59"/>
      <c r="J705" s="59"/>
      <c r="K705" s="59"/>
      <c r="L705" s="59"/>
      <c r="M705" s="59"/>
      <c r="N705" s="59"/>
      <c r="O705" s="59"/>
      <c r="P705" s="59"/>
      <c r="Q705" s="59"/>
    </row>
    <row r="706" spans="1:17" x14ac:dyDescent="0.25">
      <c r="A706" s="59"/>
      <c r="B706" s="59"/>
      <c r="C706" s="59"/>
      <c r="D706" s="59"/>
      <c r="E706" s="59"/>
      <c r="F706" s="59"/>
      <c r="G706" s="59"/>
      <c r="H706" s="59"/>
      <c r="I706" s="59"/>
      <c r="J706" s="59"/>
      <c r="K706" s="59"/>
      <c r="L706" s="59"/>
      <c r="M706" s="59"/>
      <c r="N706" s="59"/>
      <c r="O706" s="59"/>
      <c r="P706" s="59"/>
      <c r="Q706" s="59"/>
    </row>
    <row r="712" spans="1:17" x14ac:dyDescent="0.25">
      <c r="A712" s="59"/>
      <c r="B712" s="59"/>
      <c r="C712" s="59"/>
      <c r="D712" s="59"/>
      <c r="E712" s="59"/>
      <c r="F712" s="59"/>
      <c r="G712" s="59"/>
      <c r="H712" s="59"/>
      <c r="I712" s="59"/>
      <c r="J712" s="59"/>
      <c r="K712" s="59"/>
      <c r="L712" s="59"/>
      <c r="M712" s="59"/>
      <c r="N712" s="59"/>
      <c r="O712" s="59"/>
      <c r="P712" s="59"/>
      <c r="Q712" s="59"/>
    </row>
    <row r="713" spans="1:17" x14ac:dyDescent="0.25">
      <c r="A713" s="59"/>
      <c r="B713" s="59"/>
      <c r="C713" s="59"/>
      <c r="D713" s="59"/>
      <c r="E713" s="59"/>
      <c r="F713" s="59"/>
      <c r="G713" s="59"/>
      <c r="H713" s="59"/>
      <c r="I713" s="59"/>
      <c r="J713" s="59"/>
      <c r="K713" s="59"/>
      <c r="L713" s="59"/>
      <c r="M713" s="59"/>
      <c r="N713" s="59"/>
      <c r="O713" s="59"/>
      <c r="P713" s="59"/>
      <c r="Q713" s="59"/>
    </row>
    <row r="719" spans="1:17" x14ac:dyDescent="0.25">
      <c r="A719" s="59"/>
      <c r="B719" s="59"/>
      <c r="C719" s="59"/>
      <c r="D719" s="59"/>
      <c r="E719" s="59"/>
      <c r="F719" s="59"/>
      <c r="G719" s="59"/>
      <c r="H719" s="59"/>
      <c r="I719" s="59"/>
      <c r="J719" s="59"/>
      <c r="K719" s="59"/>
      <c r="L719" s="59"/>
      <c r="M719" s="59"/>
      <c r="N719" s="59"/>
      <c r="O719" s="59"/>
      <c r="P719" s="59"/>
      <c r="Q719" s="59"/>
    </row>
    <row r="720" spans="1:17" x14ac:dyDescent="0.25">
      <c r="A720" s="59"/>
      <c r="B720" s="59"/>
      <c r="C720" s="59"/>
      <c r="D720" s="59"/>
      <c r="E720" s="59"/>
      <c r="F720" s="59"/>
      <c r="G720" s="59"/>
      <c r="H720" s="59"/>
      <c r="I720" s="59"/>
      <c r="J720" s="59"/>
      <c r="K720" s="59"/>
      <c r="L720" s="59"/>
      <c r="M720" s="59"/>
      <c r="N720" s="59"/>
      <c r="O720" s="59"/>
      <c r="P720" s="59"/>
      <c r="Q720" s="59"/>
    </row>
    <row r="726" spans="1:17" x14ac:dyDescent="0.25">
      <c r="A726" s="59"/>
      <c r="B726" s="59"/>
      <c r="C726" s="59"/>
      <c r="D726" s="59"/>
      <c r="E726" s="59"/>
      <c r="F726" s="59"/>
      <c r="G726" s="59"/>
      <c r="H726" s="59"/>
      <c r="I726" s="59"/>
      <c r="J726" s="59"/>
      <c r="K726" s="59"/>
      <c r="L726" s="59"/>
      <c r="M726" s="59"/>
      <c r="N726" s="59"/>
      <c r="O726" s="59"/>
      <c r="P726" s="59"/>
      <c r="Q726" s="59"/>
    </row>
    <row r="727" spans="1:17" x14ac:dyDescent="0.25">
      <c r="A727" s="59"/>
      <c r="B727" s="59"/>
      <c r="C727" s="59"/>
      <c r="D727" s="59"/>
      <c r="E727" s="59"/>
      <c r="F727" s="59"/>
      <c r="G727" s="59"/>
      <c r="H727" s="59"/>
      <c r="I727" s="59"/>
      <c r="J727" s="59"/>
      <c r="K727" s="59"/>
      <c r="L727" s="59"/>
      <c r="M727" s="59"/>
      <c r="N727" s="59"/>
      <c r="O727" s="59"/>
      <c r="P727" s="59"/>
      <c r="Q727" s="59"/>
    </row>
    <row r="733" spans="1:17" x14ac:dyDescent="0.25">
      <c r="A733" s="59"/>
      <c r="B733" s="59"/>
      <c r="C733" s="59"/>
      <c r="D733" s="59"/>
      <c r="E733" s="59"/>
      <c r="F733" s="59"/>
      <c r="G733" s="59"/>
      <c r="H733" s="59"/>
      <c r="I733" s="59"/>
      <c r="J733" s="59"/>
      <c r="K733" s="59"/>
      <c r="L733" s="59"/>
      <c r="M733" s="59"/>
      <c r="N733" s="59"/>
      <c r="O733" s="59"/>
      <c r="P733" s="59"/>
      <c r="Q733" s="59"/>
    </row>
    <row r="734" spans="1:17" x14ac:dyDescent="0.25">
      <c r="A734" s="59"/>
      <c r="B734" s="59"/>
      <c r="C734" s="59"/>
      <c r="D734" s="59"/>
      <c r="E734" s="59"/>
      <c r="F734" s="59"/>
      <c r="G734" s="59"/>
      <c r="H734" s="59"/>
      <c r="I734" s="59"/>
      <c r="J734" s="59"/>
      <c r="K734" s="59"/>
      <c r="L734" s="59"/>
      <c r="M734" s="59"/>
      <c r="N734" s="59"/>
      <c r="O734" s="59"/>
      <c r="P734" s="59"/>
      <c r="Q734" s="59"/>
    </row>
    <row r="740" spans="1:17" x14ac:dyDescent="0.25">
      <c r="A740" s="59"/>
      <c r="B740" s="59"/>
      <c r="C740" s="59"/>
      <c r="D740" s="59"/>
      <c r="E740" s="59"/>
      <c r="F740" s="59"/>
      <c r="G740" s="59"/>
      <c r="H740" s="59"/>
      <c r="I740" s="59"/>
      <c r="J740" s="59"/>
      <c r="K740" s="59"/>
      <c r="L740" s="59"/>
      <c r="M740" s="59"/>
      <c r="N740" s="59"/>
      <c r="O740" s="59"/>
      <c r="P740" s="59"/>
      <c r="Q740" s="59"/>
    </row>
    <row r="741" spans="1:17" x14ac:dyDescent="0.25">
      <c r="A741" s="59"/>
      <c r="B741" s="59"/>
      <c r="C741" s="59"/>
      <c r="D741" s="59"/>
      <c r="E741" s="59"/>
      <c r="F741" s="59"/>
      <c r="G741" s="59"/>
      <c r="H741" s="59"/>
      <c r="I741" s="59"/>
      <c r="J741" s="59"/>
      <c r="K741" s="59"/>
      <c r="L741" s="59"/>
      <c r="M741" s="59"/>
      <c r="N741" s="59"/>
      <c r="O741" s="59"/>
      <c r="P741" s="59"/>
      <c r="Q741" s="59"/>
    </row>
    <row r="747" spans="1:17" x14ac:dyDescent="0.25">
      <c r="A747" s="59"/>
      <c r="B747" s="59"/>
      <c r="C747" s="59"/>
      <c r="D747" s="59"/>
      <c r="E747" s="59"/>
      <c r="F747" s="59"/>
      <c r="G747" s="59"/>
      <c r="H747" s="59"/>
      <c r="I747" s="59"/>
      <c r="J747" s="59"/>
      <c r="K747" s="59"/>
      <c r="L747" s="59"/>
      <c r="M747" s="59"/>
      <c r="N747" s="59"/>
      <c r="O747" s="59"/>
      <c r="P747" s="59"/>
      <c r="Q747" s="59"/>
    </row>
    <row r="748" spans="1:17" x14ac:dyDescent="0.25">
      <c r="A748" s="59"/>
      <c r="B748" s="59"/>
      <c r="C748" s="59"/>
      <c r="D748" s="59"/>
      <c r="E748" s="59"/>
      <c r="F748" s="59"/>
      <c r="G748" s="59"/>
      <c r="H748" s="59"/>
      <c r="I748" s="59"/>
      <c r="J748" s="59"/>
      <c r="K748" s="59"/>
      <c r="L748" s="59"/>
      <c r="M748" s="59"/>
      <c r="N748" s="59"/>
      <c r="O748" s="59"/>
      <c r="P748" s="59"/>
      <c r="Q748" s="59"/>
    </row>
    <row r="754" spans="1:17" x14ac:dyDescent="0.25">
      <c r="A754" s="59"/>
      <c r="B754" s="59"/>
      <c r="C754" s="59"/>
      <c r="D754" s="59"/>
      <c r="E754" s="59"/>
      <c r="F754" s="59"/>
      <c r="G754" s="59"/>
      <c r="H754" s="59"/>
      <c r="I754" s="59"/>
      <c r="J754" s="59"/>
      <c r="K754" s="59"/>
      <c r="L754" s="59"/>
      <c r="M754" s="59"/>
      <c r="N754" s="59"/>
      <c r="O754" s="59"/>
      <c r="P754" s="59"/>
      <c r="Q754" s="59"/>
    </row>
    <row r="755" spans="1:17" x14ac:dyDescent="0.25">
      <c r="A755" s="59"/>
      <c r="B755" s="59"/>
      <c r="C755" s="59"/>
      <c r="D755" s="59"/>
      <c r="E755" s="59"/>
      <c r="F755" s="59"/>
      <c r="G755" s="59"/>
      <c r="H755" s="59"/>
      <c r="I755" s="59"/>
      <c r="J755" s="59"/>
      <c r="K755" s="59"/>
      <c r="L755" s="59"/>
      <c r="M755" s="59"/>
      <c r="N755" s="59"/>
      <c r="O755" s="59"/>
      <c r="P755" s="59"/>
      <c r="Q755" s="59"/>
    </row>
  </sheetData>
  <mergeCells count="5">
    <mergeCell ref="C4:D4"/>
    <mergeCell ref="E4:F4"/>
    <mergeCell ref="G4:H4"/>
    <mergeCell ref="I4:J4"/>
    <mergeCell ref="K4:K5"/>
  </mergeCells>
  <pageMargins left="0.70866141732283472" right="0.70866141732283472" top="0.74803149606299213" bottom="0.74803149606299213" header="0.31496062992125984" footer="0.31496062992125984"/>
  <pageSetup paperSize="8" scale="1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Generate">
              <controlPr defaultSize="0" print="0" autoFill="0" autoPict="0" macro="[0]!DoAll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Clean">
              <controlPr defaultSize="0" print="0" autoFill="0" autoPict="0" macro="[0]!ClearAll">
                <anchor moveWithCells="1" sizeWithCells="1">
                  <from>
                    <xdr:col>19</xdr:col>
                    <xdr:colOff>0</xdr:colOff>
                    <xdr:row>17</xdr:row>
                    <xdr:rowOff>0</xdr:rowOff>
                  </from>
                  <to>
                    <xdr:col>20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Листы</vt:lpstr>
      </vt:variant>
      <vt:variant>
        <vt:i4>3</vt:i4>
      </vt:variant>
      <vt:variant>
        <vt:lpstr>Диаграммы</vt:lpstr>
      </vt:variant>
      <vt:variant>
        <vt:i4>12</vt:i4>
      </vt:variant>
      <vt:variant>
        <vt:lpstr>Именованные диапазоны</vt:lpstr>
      </vt:variant>
      <vt:variant>
        <vt:i4>17</vt:i4>
      </vt:variant>
    </vt:vector>
  </HeadingPairs>
  <TitlesOfParts>
    <vt:vector size="32" baseType="lpstr">
      <vt:lpstr>Светофор</vt:lpstr>
      <vt:lpstr>Ипотека</vt:lpstr>
      <vt:lpstr>Календарь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10</vt:lpstr>
      <vt:lpstr>11</vt:lpstr>
      <vt:lpstr>12</vt:lpstr>
      <vt:lpstr>ANNUAL_INTEREST_RATE</vt:lpstr>
      <vt:lpstr>CHECK_POINT</vt:lpstr>
      <vt:lpstr>CYCLE_LENGTH</vt:lpstr>
      <vt:lpstr>FRANCHISE</vt:lpstr>
      <vt:lpstr>i</vt:lpstr>
      <vt:lpstr>MORTGAGE_DEBT</vt:lpstr>
      <vt:lpstr>n</vt:lpstr>
      <vt:lpstr>nCycles</vt:lpstr>
      <vt:lpstr>P</vt:lpstr>
      <vt:lpstr>PRICE</vt:lpstr>
      <vt:lpstr>START_POINT</vt:lpstr>
      <vt:lpstr>TIME_SINCE_START</vt:lpstr>
      <vt:lpstr>timeLastCycleGreenBlink</vt:lpstr>
      <vt:lpstr>timeLastCycleGreenStart</vt:lpstr>
      <vt:lpstr>timeLastCycleRedStart</vt:lpstr>
      <vt:lpstr>x</vt:lpstr>
      <vt:lpstr>YEARS</vt:lpstr>
    </vt:vector>
  </TitlesOfParts>
  <Company>SIBUR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Сингелейцев Михаил Викторович</dc:creator>
  <cp:lastModifiedBy>Сингелейцев Михаил Викторович</cp:lastModifiedBy>
  <cp:lastPrinted>2024-11-14T12:46:00Z</cp:lastPrinted>
  <dcterms:created xsi:type="dcterms:W3CDTF">2024-11-12T10:18:06Z</dcterms:created>
  <dcterms:modified xsi:type="dcterms:W3CDTF">2024-12-03T14:54:55Z</dcterms:modified>
</cp:coreProperties>
</file>